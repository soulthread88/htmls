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s_Connectors_Plugins" sheetId="1" state="visible" r:id="rId3"/>
    <sheet name="Key_Principles" sheetId="2" state="visible" r:id="rId4"/>
    <sheet name="Error_Log" sheetId="3" state="visible" r:id="rId5"/>
    <sheet name="All_Pages_Log" sheetId="4" state="visible" r:id="rId6"/>
  </sheets>
  <definedNames>
    <definedName function="false" hidden="true" localSheetId="2" name="_xlnm._FilterDatabase" vbProcedure="false">Error_Log!$A$2:$D$12</definedName>
    <definedName function="false" hidden="true" localSheetId="1" name="_xlnm._FilterDatabase" vbProcedure="false">Key_Principles!$A$1:$F$15</definedName>
    <definedName function="false" hidden="true" localSheetId="0" name="_xlnm._FilterDatabase" vbProcedure="false">Skills_Connectors_Plugins!$A$1:$E$15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<sst xmlns="http://schemas.openxmlformats.org/spreadsheetml/2006/main" count="254" uniqueCount="191">
  <si>
    <t xml:space="preserve">Type</t>
  </si>
  <si>
    <t xml:space="preserve">Name</t>
  </si>
  <si>
    <t xml:space="preserve">Purpose for index_ko.html</t>
  </si>
  <si>
    <t xml:space="preserve">Status in this task</t>
  </si>
  <si>
    <t xml:space="preserve">Priority</t>
  </si>
  <si>
    <t xml:space="preserve">Tool used</t>
  </si>
  <si>
    <t xml:space="preserve">bash + html5lib / html.parser (Python)</t>
  </si>
  <si>
    <t xml:space="preserve">Parse-error check, tag balance, duplicate IDs, fragment targets, JSON-LD vs visible FAQ parity</t>
  </si>
  <si>
    <t xml:space="preserve">Used in this review</t>
  </si>
  <si>
    <t xml:space="preserve">Essential</t>
  </si>
  <si>
    <t xml:space="preserve">openpyxl (xlsx skill)</t>
  </si>
  <si>
    <t xml:space="preserve">Builds this workbook</t>
  </si>
  <si>
    <t xml:space="preserve">Skill</t>
  </si>
  <si>
    <t xml:space="preserve">xlsx</t>
  </si>
  <si>
    <t xml:space="preserve">Required workflow for creating the Excel deliverable</t>
  </si>
  <si>
    <t xml:space="preserve">frontend-design</t>
  </si>
  <si>
    <t xml:space="preserve">Visual/UX decisions if the placeholder imagery, layout or review-only styling is redesigned</t>
  </si>
  <si>
    <t xml:space="preserve">Not needed yet – recommended for the next design pass</t>
  </si>
  <si>
    <t xml:space="preserve">Recommended</t>
  </si>
  <si>
    <t xml:space="preserve">Plugin</t>
  </si>
  <si>
    <t xml:space="preserve">site-audit (SEO, accessibility, GEO / AI-search readiness)</t>
  </si>
  <si>
    <t xml:space="preserve">Full audit of the live page: schema, llms.txt, AI-crawler access, WCAG signals, scorecard</t>
  </si>
  <si>
    <t xml:space="preserve">Available – recommended once page is published</t>
  </si>
  <si>
    <t xml:space="preserve">Connector</t>
  </si>
  <si>
    <t xml:space="preserve">Front-End Checklist (audit_url, review_code, check_rule, get_checklist_rules)</t>
  </si>
  <si>
    <t xml:space="preserve">Rule-by-rule frontend checklist review (a11y, performance, SEO, security heads-up)</t>
  </si>
  <si>
    <t xml:space="preserve">Available – not run (needs public HTTPS URL for audit_url)</t>
  </si>
  <si>
    <t xml:space="preserve">OpenSEO (get_serp_results, run_site_audit, inspect_urls, get_ai_visibility_*)</t>
  </si>
  <si>
    <t xml:space="preserve">Search rankings for 'Die Synthese', Yemen specialty coffee Seoul; indexation checks; AI-visibility tracking</t>
  </si>
  <si>
    <t xml:space="preserve">Available – not run (needs live site + project)</t>
  </si>
  <si>
    <t xml:space="preserve">Optional</t>
  </si>
  <si>
    <t xml:space="preserve">Cloudinary</t>
  </si>
  <si>
    <t xml:space="preserve">Host/optimize real photos to replace the ~30 placeholder images (width/height, responsive formats)</t>
  </si>
  <si>
    <t xml:space="preserve">Available – not run (real assets not supplied)</t>
  </si>
  <si>
    <t xml:space="preserve">Webflow</t>
  </si>
  <si>
    <t xml:space="preserve">Markup uses Webflow/Relume-style class names (navbar5_, header44_, layout240_); useful if page is hosted/edited in Webflow</t>
  </si>
  <si>
    <t xml:space="preserve">Available – not run</t>
  </si>
  <si>
    <t xml:space="preserve">Google Drive</t>
  </si>
  <si>
    <t xml:space="preserve">Store source files, image licence/credit records, and the review-status sign-off</t>
  </si>
  <si>
    <t xml:space="preserve">External (not in Claude)</t>
  </si>
  <si>
    <t xml:space="preserve">Official W3C Nu HTML Checker</t>
  </si>
  <si>
    <t xml:space="preserve">Independent confirmation of HTML validity; not reachable from this sandbox network</t>
  </si>
  <si>
    <t xml:space="preserve">Not run – run manually</t>
  </si>
  <si>
    <t xml:space="preserve">Google Rich Results Test / Schema Markup Validator</t>
  </si>
  <si>
    <t xml:space="preserve">Confirms CafeOrCoffeeShop, FAQPage structured data eligibility</t>
  </si>
  <si>
    <t xml:space="preserve">Not run – run manually after publish</t>
  </si>
  <si>
    <t xml:space="preserve">Lighthouse / axe DevTools</t>
  </si>
  <si>
    <t xml:space="preserve">Contrast, performance (CLS from image sizes), screen-reader checks that static parsing cannot do</t>
  </si>
  <si>
    <t xml:space="preserve">Asset dependency</t>
  </si>
  <si>
    <t xml:space="preserve">../../assets/review.css and ../../assets/review.js; ../../imgs/*; ../../videos/*</t>
  </si>
  <si>
    <t xml:space="preserve">Page cannot render correctly without these; none were uploaded so they could not be checked</t>
  </si>
  <si>
    <t xml:space="preserve">Missing from upload – verify paths</t>
  </si>
  <si>
    <t xml:space="preserve">#</t>
  </si>
  <si>
    <t xml:space="preserve">Principle</t>
  </si>
  <si>
    <t xml:space="preserve">What it means</t>
  </si>
  <si>
    <t xml:space="preserve">Result</t>
  </si>
  <si>
    <t xml:space="preserve">Evidence from index_ko.html</t>
  </si>
  <si>
    <t xml:space="preserve">Recommended action</t>
  </si>
  <si>
    <t xml:space="preserve">Valid, well-formed HTML</t>
  </si>
  <si>
    <t xml:space="preserve">Tags balanced, no parse errors, unique IDs, correct nesting</t>
  </si>
  <si>
    <t xml:space="preserve">Pass</t>
  </si>
  <si>
    <t xml:space="preserve">html5lib: 0 errors; no unclosed/mismatched tags; 0 duplicate IDs</t>
  </si>
  <si>
    <t xml:space="preserve">None</t>
  </si>
  <si>
    <t xml:space="preserve">Semantic structure &amp; heading order</t>
  </si>
  <si>
    <t xml:space="preserve">One h1, logical h2/h3, landmarks (header/nav/main/footer), skip link</t>
  </si>
  <si>
    <t xml:space="preserve">1 h1; main#top matches skip link; nav has aria-label</t>
  </si>
  <si>
    <t xml:space="preserve">Accessibility (WCAG)</t>
  </si>
  <si>
    <t xml:space="preserve">Alt text, labelled controls, ARIA only where needed, captions for media</t>
  </si>
  <si>
    <t xml:space="preserve">Partial</t>
  </si>
  <si>
    <t xml:space="preserve">30/30 images have alt; hero video has no captions/transcript track; decorative status dot was not hidden from AT (fixed)</t>
  </si>
  <si>
    <t xml:space="preserve">Add &lt;track&gt; or text alternative for video; run axe for contrast</t>
  </si>
  <si>
    <t xml:space="preserve">Internal link &amp; anchor integrity</t>
  </si>
  <si>
    <t xml:space="preserve">Every #fragment resolves; internal pages exist</t>
  </si>
  <si>
    <t xml:space="preserve">#top, #siteHeader, #reviews resolve; shopping_ko.html#order-help targets another page; sibling pages not uploaded</t>
  </si>
  <si>
    <t xml:space="preserve">Verify coffee_ko, cafe_ko, story_ko, workshops_ko, shopping_ko, news_ko, visit_ko exist</t>
  </si>
  <si>
    <t xml:space="preserve">SEO metadata</t>
  </si>
  <si>
    <t xml:space="preserve">Unique title/description, canonical, Open Graph, hreflang</t>
  </si>
  <si>
    <t xml:space="preserve">Title, description, robots, og:title/description present; canonical, og:url, og:image, hreflang absent</t>
  </si>
  <si>
    <t xml:space="preserve">Add canonical + og:url + og:image once the public URL is known (not guessed here)</t>
  </si>
  <si>
    <t xml:space="preserve">Structured data accuracy</t>
  </si>
  <si>
    <t xml:space="preserve">JSON-LD must match visible content and be eligible for rich results</t>
  </si>
  <si>
    <t xml:space="preserve">Fixed</t>
  </si>
  <si>
    <t xml:space="preserve">JSON-LD parses; 10/10 FAQ Q&amp;As match visible text; hours and phone match; Offer objects had no price (ineligible) – converted to Product items</t>
  </si>
  <si>
    <t xml:space="preserve">Consider adding url, geo, image, priceRange when confirmed</t>
  </si>
  <si>
    <t xml:space="preserve">Content consistency</t>
  </si>
  <si>
    <t xml:space="preserve">Same facts everywhere; no contradictory or duplicate statements</t>
  </si>
  <si>
    <t xml:space="preserve">Workshop step 01 listed 4 of 7 categories – now lists all 7</t>
  </si>
  <si>
    <t xml:space="preserve">Opening hours are flagged on-page as differing by source: confirm with the shop</t>
  </si>
  <si>
    <t xml:space="preserve">Content honesty / provenance</t>
  </si>
  <si>
    <t xml:space="preserve">Do not present stock imagery as the real business; credit sources</t>
  </si>
  <si>
    <t xml:space="preserve">Needs action</t>
  </si>
  <si>
    <t xml:space="preserve">Page itself discloses placeholder images and shows 'license unverified, publication on hold' credit lines under ~30 images</t>
  </si>
  <si>
    <t xml:space="preserve">Replace with licensed/real photos and remove internal review notes before launch</t>
  </si>
  <si>
    <t xml:space="preserve">Progressive enhancement</t>
  </si>
  <si>
    <t xml:space="preserve">Core content works without JS</t>
  </si>
  <si>
    <t xml:space="preserve">Fixed / Partial</t>
  </si>
  <si>
    <t xml:space="preserve">Footer year relied on JS (now has fallback); AI-helper dialog and menu toggle need review.js</t>
  </si>
  <si>
    <t xml:space="preserve">Test with JS disabled</t>
  </si>
  <si>
    <t xml:space="preserve">Performance &amp; layout stability</t>
  </si>
  <si>
    <t xml:space="preserve">Lazy-load below fold, set image dimensions, optimize media</t>
  </si>
  <si>
    <t xml:space="preserve">All images lazy; 0/30 have width/height (layout shift risk); video preload=none (good)</t>
  </si>
  <si>
    <t xml:space="preserve">Add width/height (or aspect-ratio) when real images exist</t>
  </si>
  <si>
    <t xml:space="preserve">Internationalisation</t>
  </si>
  <si>
    <t xml:space="preserve">Correct lang, consistent language, locale metadata</t>
  </si>
  <si>
    <t xml:space="preserve">lang=ko, og:locale ko_KR, inLanguage ko-KR; nav label 'Shopping' left in English (appears intentional brand term)</t>
  </si>
  <si>
    <r>
      <rPr>
        <sz val="10"/>
        <rFont val="Arial"/>
        <family val="0"/>
        <charset val="1"/>
      </rPr>
      <t xml:space="preserve">Optional: translate to </t>
    </r>
    <r>
      <rPr>
        <sz val="10"/>
        <rFont val="Noto Sans CJK SC"/>
        <family val="2"/>
      </rPr>
      <t xml:space="preserve">쇼핑</t>
    </r>
  </si>
  <si>
    <t xml:space="preserve">Security &amp; privacy hygiene</t>
  </si>
  <si>
    <t xml:space="preserve">Safe external links, no sensitive data capture</t>
  </si>
  <si>
    <t xml:space="preserve">No forms; external links are plain navigations; AI helper warns not to enter order/payment data; iframe has referrerpolicy</t>
  </si>
  <si>
    <t xml:space="preserve">GEO / AI-search readiness</t>
  </si>
  <si>
    <t xml:space="preserve">Clear 'facts at a glance' block, entity naming, citeable FAQ</t>
  </si>
  <si>
    <t xml:space="preserve">geo-facts &lt;dl&gt; block, dated 'last verified' time element, sourced FAQ</t>
  </si>
  <si>
    <t xml:space="preserve">Check llms.txt and AI-crawler rules at site level</t>
  </si>
  <si>
    <t xml:space="preserve">Verification limits</t>
  </si>
  <si>
    <t xml:space="preserve">State what could not be checked</t>
  </si>
  <si>
    <t xml:space="preserve">Note</t>
  </si>
  <si>
    <t xml:space="preserve">No network to W3C validator; external CSS/JS/images/videos not supplied; colour contrast not computed</t>
  </si>
  <si>
    <t xml:space="preserve">Run Nu validator, Lighthouse, axe</t>
  </si>
  <si>
    <t xml:space="preserve">Hard syntax errors found: 0. Items below are quality/validity issues.</t>
  </si>
  <si>
    <t xml:space="preserve">Status</t>
  </si>
  <si>
    <t xml:space="preserve">Area</t>
  </si>
  <si>
    <t xml:space="preserve">Issue</t>
  </si>
  <si>
    <t xml:space="preserve">Action / note</t>
  </si>
  <si>
    <t xml:space="preserve">JSON-LD</t>
  </si>
  <si>
    <t xml:space="preserve">hasOfferCatalog used Offer objects with no price/availability (invalid for rich results; items say 'inquire')</t>
  </si>
  <si>
    <t xml:space="preserve">Converted to plain Product items</t>
  </si>
  <si>
    <t xml:space="preserve">Content</t>
  </si>
  <si>
    <t xml:space="preserve">Workshop step 01 named 4 categories while 7 are listed</t>
  </si>
  <si>
    <t xml:space="preserve">Listed all 7</t>
  </si>
  <si>
    <t xml:space="preserve">&lt;span id="year"&gt; empty if JS fails</t>
  </si>
  <si>
    <t xml:space="preserve">Default text 2026 added</t>
  </si>
  <si>
    <t xml:space="preserve">Accessibility</t>
  </si>
  <si>
    <t xml:space="preserve">Decorative .layout240_status-dot exposed to assistive tech</t>
  </si>
  <si>
    <t xml:space="preserve">aria-hidden="true"</t>
  </si>
  <si>
    <t xml:space="preserve">Style</t>
  </si>
  <si>
    <t xml:space="preserve">Mixed &lt;br&gt; and &lt;br/&gt;</t>
  </si>
  <si>
    <t xml:space="preserve">Normalised to &lt;br/&gt;</t>
  </si>
  <si>
    <t xml:space="preserve">Open</t>
  </si>
  <si>
    <t xml:space="preserve">SEO</t>
  </si>
  <si>
    <t xml:space="preserve">No canonical, og:url, og:image, hreflang</t>
  </si>
  <si>
    <t xml:space="preserve">Needs real public URL/image – not invented</t>
  </si>
  <si>
    <t xml:space="preserve">Performance</t>
  </si>
  <si>
    <t xml:space="preserve">No width/height on 30 images</t>
  </si>
  <si>
    <t xml:space="preserve">Needs real asset dimensions</t>
  </si>
  <si>
    <t xml:space="preserve">Video has no captions/transcript track</t>
  </si>
  <si>
    <t xml:space="preserve">Needs caption file or text alternative</t>
  </si>
  <si>
    <t xml:space="preserve">Placeholder images and internal 'review hold' credit lines are visible on page; review.css/review.js suggest a review build</t>
  </si>
  <si>
    <t xml:space="preserve">Replace assets, remove notes before launch</t>
  </si>
  <si>
    <t xml:space="preserve">Verification</t>
  </si>
  <si>
    <t xml:space="preserve">Linked pages, CSS, JS, images, videos not uploaded</t>
  </si>
  <si>
    <t xml:space="preserve">Confirm paths</t>
  </si>
  <si>
    <t xml:space="preserve">Fixed count</t>
  </si>
  <si>
    <t xml:space="preserve">Open count</t>
  </si>
  <si>
    <t xml:space="preserve">Pages affected</t>
  </si>
  <si>
    <t xml:space="preserve">Action</t>
  </si>
  <si>
    <t xml:space="preserve">coffee, visit, cafe, news, shopping, story, workshops</t>
  </si>
  <si>
    <t xml:space="preserve">CSS/JS linked as ../assets/review.* – resolves to htmls/assets (does not exist)</t>
  </si>
  <si>
    <t xml:space="preserve">Changed to ../../assets/review.*</t>
  </si>
  <si>
    <t xml:space="preserve">same (34 images)</t>
  </si>
  <si>
    <t xml:space="preserve">Images pointed to ../assets/*.jpg; files live in imgs/</t>
  </si>
  <si>
    <t xml:space="preserve">Changed to ../../imgs/*</t>
  </si>
  <si>
    <t xml:space="preserve">same (7 pages x 2 videos)</t>
  </si>
  <si>
    <t xml:space="preserve">Videos pointed to ../assets/*.mp4/.webm; files live in videos/</t>
  </si>
  <si>
    <t xml:space="preserve">Changed to ../../videos/*</t>
  </si>
  <si>
    <t xml:space="preserve">all 7 (about 80 links)</t>
  </si>
  <si>
    <t xml:space="preserve">Nav, footer, CTA and AI-helper links used index.html, cafe.html etc. instead of *_ko.html (broken; news/shopping/story/workshops/coffee/visit also had cafe.html and index.html)</t>
  </si>
  <si>
    <t xml:space="preserve">Renamed to *_ko.html, fragments kept (#reviews, #top, #order-help, #yemen all resolve)</t>
  </si>
  <si>
    <t xml:space="preserve">coffee, visit</t>
  </si>
  <si>
    <t xml:space="preserve">Unescaped &amp; in Google Maps URLs (HTML parse errors)</t>
  </si>
  <si>
    <t xml:space="preserve">Escaped as &amp;amp;</t>
  </si>
  <si>
    <t xml:space="preserve">all 7</t>
  </si>
  <si>
    <t xml:space="preserve">Floating tools div had aria-label with no role</t>
  </si>
  <si>
    <t xml:space="preserve">Added role="group"</t>
  </si>
  <si>
    <t xml:space="preserve">Footer year empty without JS</t>
  </si>
  <si>
    <t xml:space="preserve">Fallback 2026</t>
  </si>
  <si>
    <t xml:space="preserve">workshops</t>
  </si>
  <si>
    <t xml:space="preserve">Decorative status dot exposed; step 01 listed 4 of 7 categories</t>
  </si>
  <si>
    <t xml:space="preserve">aria-hidden; all 7 listed</t>
  </si>
  <si>
    <t xml:space="preserve">visit, cafe</t>
  </si>
  <si>
    <t xml:space="preserve">Mixed &lt;br&gt; / &lt;br/&gt;</t>
  </si>
  <si>
    <t xml:space="preserve">Normalised</t>
  </si>
  <si>
    <t xml:space="preserve">robots meta is noindex,follow while index_ko.html is index,follow</t>
  </si>
  <si>
    <t xml:space="preserve">Intentional for review? Change before launch</t>
  </si>
  <si>
    <t xml:space="preserve">Same placeholder-image / license-hold notices, no canonical/hreflang, no image width/height, no video captions</t>
  </si>
  <si>
    <t xml:space="preserve">See earlier sheets</t>
  </si>
  <si>
    <t xml:space="preserve">shopping</t>
  </si>
  <si>
    <r>
      <rPr>
        <sz val="10"/>
        <rFont val="Arial"/>
        <family val="0"/>
        <charset val="1"/>
      </rPr>
      <t xml:space="preserve">Product-card links go to shopping_ko.html (the same page) with link text 'Shopping </t>
    </r>
    <r>
      <rPr>
        <sz val="10"/>
        <rFont val="Noto Sans CJK SC"/>
        <family val="2"/>
      </rPr>
      <t xml:space="preserve">구매 안내</t>
    </r>
    <r>
      <rPr>
        <sz val="10"/>
        <rFont val="Arial"/>
        <family val="0"/>
        <charset val="1"/>
      </rPr>
      <t xml:space="preserve">'</t>
    </r>
  </si>
  <si>
    <t xml:space="preserve">Link to official shop product pages or remove</t>
  </si>
  <si>
    <t xml:space="preserve">shopping, workshops, news</t>
  </si>
  <si>
    <r>
      <rPr>
        <sz val="10"/>
        <rFont val="Arial"/>
        <family val="0"/>
        <charset val="1"/>
      </rPr>
      <t xml:space="preserve">Official shop URLs (diesynthese.com/product, /order, /myshop) and 'index.html#top' CTA labelled </t>
    </r>
    <r>
      <rPr>
        <sz val="10"/>
        <rFont val="Noto Sans CJK SC"/>
        <family val="2"/>
      </rPr>
      <t xml:space="preserve">공식 소식 확인 </t>
    </r>
    <r>
      <rPr>
        <sz val="10"/>
        <rFont val="Arial"/>
        <family val="0"/>
        <charset val="1"/>
      </rPr>
      <t xml:space="preserve">not verified/odd</t>
    </r>
  </si>
  <si>
    <t xml:space="preserve">Verify live URLs; point CTA to Instagram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</si>
</sst>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22B25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22B2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B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6"/>
    <col collapsed="false" customWidth="true" hidden="false" outlineLevel="0" max="3" min="3" style="1" width="62"/>
    <col collapsed="false" customWidth="true" hidden="false" outlineLevel="0" max="4" min="4" style="1" width="42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3.2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5" hidden="false" customHeight="true" outlineLevel="0" collapsed="false">
      <c r="A3" s="3" t="s">
        <v>5</v>
      </c>
      <c r="B3" s="3" t="s">
        <v>10</v>
      </c>
      <c r="C3" s="3" t="s">
        <v>11</v>
      </c>
      <c r="D3" s="3" t="s">
        <v>8</v>
      </c>
      <c r="E3" s="3" t="s">
        <v>9</v>
      </c>
    </row>
    <row r="4" customFormat="false" ht="15" hidden="false" customHeight="true" outlineLevel="0" collapsed="false">
      <c r="A4" s="3" t="s">
        <v>12</v>
      </c>
      <c r="B4" s="3" t="s">
        <v>13</v>
      </c>
      <c r="C4" s="3" t="s">
        <v>14</v>
      </c>
      <c r="D4" s="3" t="s">
        <v>8</v>
      </c>
      <c r="E4" s="3" t="s">
        <v>9</v>
      </c>
    </row>
    <row r="5" customFormat="false" ht="23.25" hidden="false" customHeight="true" outlineLevel="0" collapsed="false">
      <c r="A5" s="3" t="s">
        <v>12</v>
      </c>
      <c r="B5" s="3" t="s">
        <v>15</v>
      </c>
      <c r="C5" s="3" t="s">
        <v>16</v>
      </c>
      <c r="D5" s="3" t="s">
        <v>17</v>
      </c>
      <c r="E5" s="3" t="s">
        <v>18</v>
      </c>
    </row>
    <row r="6" customFormat="false" ht="23.25" hidden="false" customHeight="true" outlineLevel="0" collapsed="false">
      <c r="A6" s="3" t="s">
        <v>19</v>
      </c>
      <c r="B6" s="3" t="s">
        <v>20</v>
      </c>
      <c r="C6" s="3" t="s">
        <v>21</v>
      </c>
      <c r="D6" s="3" t="s">
        <v>22</v>
      </c>
      <c r="E6" s="3" t="s">
        <v>18</v>
      </c>
    </row>
    <row r="7" customFormat="false" ht="23.25" hidden="false" customHeight="true" outlineLevel="0" collapsed="false">
      <c r="A7" s="3" t="s">
        <v>23</v>
      </c>
      <c r="B7" s="3" t="s">
        <v>24</v>
      </c>
      <c r="C7" s="3" t="s">
        <v>25</v>
      </c>
      <c r="D7" s="3" t="s">
        <v>26</v>
      </c>
      <c r="E7" s="3" t="s">
        <v>18</v>
      </c>
    </row>
    <row r="8" customFormat="false" ht="23.25" hidden="false" customHeight="true" outlineLevel="0" collapsed="false">
      <c r="A8" s="3" t="s">
        <v>23</v>
      </c>
      <c r="B8" s="3" t="s">
        <v>27</v>
      </c>
      <c r="C8" s="3" t="s">
        <v>28</v>
      </c>
      <c r="D8" s="3" t="s">
        <v>29</v>
      </c>
      <c r="E8" s="3" t="s">
        <v>30</v>
      </c>
    </row>
    <row r="9" customFormat="false" ht="23.25" hidden="false" customHeight="true" outlineLevel="0" collapsed="false">
      <c r="A9" s="3" t="s">
        <v>23</v>
      </c>
      <c r="B9" s="3" t="s">
        <v>31</v>
      </c>
      <c r="C9" s="3" t="s">
        <v>32</v>
      </c>
      <c r="D9" s="3" t="s">
        <v>33</v>
      </c>
      <c r="E9" s="3" t="s">
        <v>18</v>
      </c>
    </row>
    <row r="10" customFormat="false" ht="23.25" hidden="false" customHeight="true" outlineLevel="0" collapsed="false">
      <c r="A10" s="3" t="s">
        <v>23</v>
      </c>
      <c r="B10" s="3" t="s">
        <v>34</v>
      </c>
      <c r="C10" s="3" t="s">
        <v>35</v>
      </c>
      <c r="D10" s="3" t="s">
        <v>36</v>
      </c>
      <c r="E10" s="3" t="s">
        <v>30</v>
      </c>
    </row>
    <row r="11" customFormat="false" ht="23.25" hidden="false" customHeight="true" outlineLevel="0" collapsed="false">
      <c r="A11" s="3" t="s">
        <v>23</v>
      </c>
      <c r="B11" s="3" t="s">
        <v>37</v>
      </c>
      <c r="C11" s="3" t="s">
        <v>38</v>
      </c>
      <c r="D11" s="3" t="s">
        <v>36</v>
      </c>
      <c r="E11" s="3" t="s">
        <v>30</v>
      </c>
    </row>
    <row r="12" customFormat="false" ht="23.25" hidden="false" customHeight="true" outlineLevel="0" collapsed="false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18</v>
      </c>
    </row>
    <row r="13" customFormat="false" ht="15" hidden="false" customHeight="true" outlineLevel="0" collapsed="false">
      <c r="A13" s="3" t="s">
        <v>39</v>
      </c>
      <c r="B13" s="3" t="s">
        <v>43</v>
      </c>
      <c r="C13" s="3" t="s">
        <v>44</v>
      </c>
      <c r="D13" s="3" t="s">
        <v>45</v>
      </c>
      <c r="E13" s="3" t="s">
        <v>18</v>
      </c>
    </row>
    <row r="14" customFormat="false" ht="23.25" hidden="false" customHeight="true" outlineLevel="0" collapsed="false">
      <c r="A14" s="3" t="s">
        <v>39</v>
      </c>
      <c r="B14" s="3" t="s">
        <v>46</v>
      </c>
      <c r="C14" s="3" t="s">
        <v>47</v>
      </c>
      <c r="D14" s="3" t="s">
        <v>42</v>
      </c>
      <c r="E14" s="3" t="s">
        <v>18</v>
      </c>
    </row>
    <row r="15" customFormat="false" ht="23.25" hidden="false" customHeight="true" outlineLevel="0" collapsed="false">
      <c r="A15" s="3" t="s">
        <v>48</v>
      </c>
      <c r="B15" s="3" t="s">
        <v>49</v>
      </c>
      <c r="C15" s="3" t="s">
        <v>50</v>
      </c>
      <c r="D15" s="3" t="s">
        <v>51</v>
      </c>
      <c r="E15" s="3" t="s">
        <v>9</v>
      </c>
    </row>
  </sheetData>
  <autoFilter ref="A1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44"/>
    <col collapsed="false" customWidth="true" hidden="false" outlineLevel="0" max="4" min="4" style="1" width="14"/>
    <col collapsed="false" customWidth="true" hidden="false" outlineLevel="0" max="5" min="5" style="1" width="62"/>
    <col collapsed="false" customWidth="true" hidden="false" outlineLevel="0" max="6" min="6" style="1" width="48"/>
  </cols>
  <sheetData>
    <row r="1" customFormat="false" ht="15" hidden="false" customHeight="true" outlineLevel="0" collapsed="false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customFormat="false" ht="23.25" hidden="false" customHeight="true" outlineLevel="0" collapsed="false">
      <c r="A2" s="3" t="n">
        <v>1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</row>
    <row r="3" customFormat="false" ht="23.25" hidden="false" customHeight="true" outlineLevel="0" collapsed="false">
      <c r="A3" s="3" t="n">
        <v>2</v>
      </c>
      <c r="B3" s="3" t="s">
        <v>63</v>
      </c>
      <c r="C3" s="3" t="s">
        <v>64</v>
      </c>
      <c r="D3" s="3" t="s">
        <v>60</v>
      </c>
      <c r="E3" s="3" t="s">
        <v>65</v>
      </c>
      <c r="F3" s="3" t="s">
        <v>62</v>
      </c>
    </row>
    <row r="4" customFormat="false" ht="23.25" hidden="false" customHeight="true" outlineLevel="0" collapsed="false">
      <c r="A4" s="3" t="n">
        <v>3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</row>
    <row r="5" customFormat="false" ht="23.25" hidden="false" customHeight="true" outlineLevel="0" collapsed="false">
      <c r="A5" s="3" t="n">
        <v>4</v>
      </c>
      <c r="B5" s="3" t="s">
        <v>71</v>
      </c>
      <c r="C5" s="3" t="s">
        <v>72</v>
      </c>
      <c r="D5" s="3" t="s">
        <v>68</v>
      </c>
      <c r="E5" s="3" t="s">
        <v>73</v>
      </c>
      <c r="F5" s="3" t="s">
        <v>74</v>
      </c>
    </row>
    <row r="6" customFormat="false" ht="23.25" hidden="false" customHeight="true" outlineLevel="0" collapsed="false">
      <c r="A6" s="3" t="n">
        <v>5</v>
      </c>
      <c r="B6" s="3" t="s">
        <v>75</v>
      </c>
      <c r="C6" s="3" t="s">
        <v>76</v>
      </c>
      <c r="D6" s="3" t="s">
        <v>68</v>
      </c>
      <c r="E6" s="3" t="s">
        <v>77</v>
      </c>
      <c r="F6" s="3" t="s">
        <v>78</v>
      </c>
    </row>
    <row r="7" customFormat="false" ht="23.25" hidden="false" customHeight="true" outlineLevel="0" collapsed="false">
      <c r="A7" s="3" t="n">
        <v>6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83</v>
      </c>
    </row>
    <row r="8" customFormat="false" ht="23.25" hidden="false" customHeight="true" outlineLevel="0" collapsed="false">
      <c r="A8" s="3" t="n">
        <v>7</v>
      </c>
      <c r="B8" s="3" t="s">
        <v>84</v>
      </c>
      <c r="C8" s="3" t="s">
        <v>85</v>
      </c>
      <c r="D8" s="3" t="s">
        <v>81</v>
      </c>
      <c r="E8" s="3" t="s">
        <v>86</v>
      </c>
      <c r="F8" s="3" t="s">
        <v>87</v>
      </c>
    </row>
    <row r="9" customFormat="false" ht="23.25" hidden="false" customHeight="true" outlineLevel="0" collapsed="false">
      <c r="A9" s="3" t="n">
        <v>8</v>
      </c>
      <c r="B9" s="3" t="s">
        <v>88</v>
      </c>
      <c r="C9" s="3" t="s">
        <v>89</v>
      </c>
      <c r="D9" s="3" t="s">
        <v>90</v>
      </c>
      <c r="E9" s="3" t="s">
        <v>91</v>
      </c>
      <c r="F9" s="3" t="s">
        <v>92</v>
      </c>
    </row>
    <row r="10" customFormat="false" ht="23.25" hidden="false" customHeight="true" outlineLevel="0" collapsed="false">
      <c r="A10" s="3" t="n">
        <v>9</v>
      </c>
      <c r="B10" s="3" t="s">
        <v>93</v>
      </c>
      <c r="C10" s="3" t="s">
        <v>94</v>
      </c>
      <c r="D10" s="3" t="s">
        <v>95</v>
      </c>
      <c r="E10" s="3" t="s">
        <v>96</v>
      </c>
      <c r="F10" s="3" t="s">
        <v>97</v>
      </c>
    </row>
    <row r="11" customFormat="false" ht="23.25" hidden="false" customHeight="true" outlineLevel="0" collapsed="false">
      <c r="A11" s="3" t="n">
        <v>10</v>
      </c>
      <c r="B11" s="3" t="s">
        <v>98</v>
      </c>
      <c r="C11" s="3" t="s">
        <v>99</v>
      </c>
      <c r="D11" s="3" t="s">
        <v>90</v>
      </c>
      <c r="E11" s="3" t="s">
        <v>100</v>
      </c>
      <c r="F11" s="3" t="s">
        <v>101</v>
      </c>
    </row>
    <row r="12" customFormat="false" ht="23.25" hidden="false" customHeight="true" outlineLevel="0" collapsed="false">
      <c r="A12" s="3" t="n">
        <v>11</v>
      </c>
      <c r="B12" s="3" t="s">
        <v>102</v>
      </c>
      <c r="C12" s="3" t="s">
        <v>103</v>
      </c>
      <c r="D12" s="3" t="s">
        <v>60</v>
      </c>
      <c r="E12" s="3" t="s">
        <v>104</v>
      </c>
      <c r="F12" s="3" t="s">
        <v>105</v>
      </c>
    </row>
    <row r="13" customFormat="false" ht="23.25" hidden="false" customHeight="true" outlineLevel="0" collapsed="false">
      <c r="A13" s="3" t="n">
        <v>12</v>
      </c>
      <c r="B13" s="3" t="s">
        <v>106</v>
      </c>
      <c r="C13" s="3" t="s">
        <v>107</v>
      </c>
      <c r="D13" s="3" t="s">
        <v>60</v>
      </c>
      <c r="E13" s="3" t="s">
        <v>108</v>
      </c>
      <c r="F13" s="3" t="s">
        <v>62</v>
      </c>
    </row>
    <row r="14" customFormat="false" ht="23.25" hidden="false" customHeight="true" outlineLevel="0" collapsed="false">
      <c r="A14" s="3" t="n">
        <v>13</v>
      </c>
      <c r="B14" s="3" t="s">
        <v>109</v>
      </c>
      <c r="C14" s="3" t="s">
        <v>110</v>
      </c>
      <c r="D14" s="3" t="s">
        <v>60</v>
      </c>
      <c r="E14" s="3" t="s">
        <v>111</v>
      </c>
      <c r="F14" s="3" t="s">
        <v>112</v>
      </c>
    </row>
    <row r="15" customFormat="false" ht="23.25" hidden="false" customHeight="true" outlineLevel="0" collapsed="false">
      <c r="A15" s="3" t="n">
        <v>14</v>
      </c>
      <c r="B15" s="3" t="s">
        <v>113</v>
      </c>
      <c r="C15" s="3" t="s">
        <v>114</v>
      </c>
      <c r="D15" s="3" t="s">
        <v>115</v>
      </c>
      <c r="E15" s="3" t="s">
        <v>116</v>
      </c>
      <c r="F15" s="3" t="s">
        <v>117</v>
      </c>
    </row>
  </sheetData>
  <autoFilter ref="A1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78"/>
    <col collapsed="false" customWidth="true" hidden="false" outlineLevel="0" max="4" min="4" style="1" width="50"/>
  </cols>
  <sheetData>
    <row r="1" customFormat="false" ht="30" hidden="false" customHeight="true" outlineLevel="0" collapsed="false">
      <c r="A1" s="4" t="s">
        <v>118</v>
      </c>
      <c r="B1" s="4"/>
      <c r="C1" s="4"/>
      <c r="D1" s="4"/>
    </row>
    <row r="2" customFormat="false" ht="15" hidden="false" customHeight="true" outlineLevel="0" collapsed="false">
      <c r="A2" s="2" t="s">
        <v>119</v>
      </c>
      <c r="B2" s="2" t="s">
        <v>120</v>
      </c>
      <c r="C2" s="2" t="s">
        <v>121</v>
      </c>
      <c r="D2" s="2" t="s">
        <v>122</v>
      </c>
    </row>
    <row r="3" customFormat="false" ht="23.25" hidden="false" customHeight="true" outlineLevel="0" collapsed="false">
      <c r="A3" s="3" t="s">
        <v>81</v>
      </c>
      <c r="B3" s="3" t="s">
        <v>123</v>
      </c>
      <c r="C3" s="3" t="s">
        <v>124</v>
      </c>
      <c r="D3" s="3" t="s">
        <v>125</v>
      </c>
    </row>
    <row r="4" customFormat="false" ht="15" hidden="false" customHeight="true" outlineLevel="0" collapsed="false">
      <c r="A4" s="3" t="s">
        <v>81</v>
      </c>
      <c r="B4" s="3" t="s">
        <v>126</v>
      </c>
      <c r="C4" s="3" t="s">
        <v>127</v>
      </c>
      <c r="D4" s="3" t="s">
        <v>128</v>
      </c>
    </row>
    <row r="5" customFormat="false" ht="15" hidden="false" customHeight="true" outlineLevel="0" collapsed="false">
      <c r="A5" s="3" t="s">
        <v>81</v>
      </c>
      <c r="B5" s="3" t="s">
        <v>93</v>
      </c>
      <c r="C5" s="3" t="s">
        <v>129</v>
      </c>
      <c r="D5" s="3" t="s">
        <v>130</v>
      </c>
    </row>
    <row r="6" customFormat="false" ht="15" hidden="false" customHeight="true" outlineLevel="0" collapsed="false">
      <c r="A6" s="3" t="s">
        <v>81</v>
      </c>
      <c r="B6" s="3" t="s">
        <v>131</v>
      </c>
      <c r="C6" s="3" t="s">
        <v>132</v>
      </c>
      <c r="D6" s="3" t="s">
        <v>133</v>
      </c>
    </row>
    <row r="7" customFormat="false" ht="15" hidden="false" customHeight="true" outlineLevel="0" collapsed="false">
      <c r="A7" s="3" t="s">
        <v>81</v>
      </c>
      <c r="B7" s="3" t="s">
        <v>134</v>
      </c>
      <c r="C7" s="3" t="s">
        <v>135</v>
      </c>
      <c r="D7" s="3" t="s">
        <v>136</v>
      </c>
    </row>
    <row r="8" customFormat="false" ht="15" hidden="false" customHeight="true" outlineLevel="0" collapsed="false">
      <c r="A8" s="3" t="s">
        <v>137</v>
      </c>
      <c r="B8" s="3" t="s">
        <v>138</v>
      </c>
      <c r="C8" s="3" t="s">
        <v>139</v>
      </c>
      <c r="D8" s="3" t="s">
        <v>140</v>
      </c>
    </row>
    <row r="9" customFormat="false" ht="15" hidden="false" customHeight="true" outlineLevel="0" collapsed="false">
      <c r="A9" s="3" t="s">
        <v>137</v>
      </c>
      <c r="B9" s="3" t="s">
        <v>141</v>
      </c>
      <c r="C9" s="3" t="s">
        <v>142</v>
      </c>
      <c r="D9" s="3" t="s">
        <v>143</v>
      </c>
    </row>
    <row r="10" customFormat="false" ht="15" hidden="false" customHeight="true" outlineLevel="0" collapsed="false">
      <c r="A10" s="3" t="s">
        <v>137</v>
      </c>
      <c r="B10" s="3" t="s">
        <v>131</v>
      </c>
      <c r="C10" s="3" t="s">
        <v>144</v>
      </c>
      <c r="D10" s="3" t="s">
        <v>145</v>
      </c>
    </row>
    <row r="11" customFormat="false" ht="23.25" hidden="false" customHeight="true" outlineLevel="0" collapsed="false">
      <c r="A11" s="3" t="s">
        <v>137</v>
      </c>
      <c r="B11" s="3" t="s">
        <v>126</v>
      </c>
      <c r="C11" s="3" t="s">
        <v>146</v>
      </c>
      <c r="D11" s="3" t="s">
        <v>147</v>
      </c>
    </row>
    <row r="12" customFormat="false" ht="15" hidden="false" customHeight="true" outlineLevel="0" collapsed="false">
      <c r="A12" s="3" t="s">
        <v>137</v>
      </c>
      <c r="B12" s="3" t="s">
        <v>148</v>
      </c>
      <c r="C12" s="3" t="s">
        <v>149</v>
      </c>
      <c r="D12" s="3" t="s">
        <v>150</v>
      </c>
    </row>
    <row r="14" customFormat="false" ht="15" hidden="false" customHeight="true" outlineLevel="0" collapsed="false">
      <c r="A14" s="5" t="s">
        <v>151</v>
      </c>
      <c r="B14" s="6" t="n">
        <f aca="false">COUNTIF(A3:A12,"Fixed")</f>
        <v>5</v>
      </c>
    </row>
    <row r="15" customFormat="false" ht="15" hidden="false" customHeight="true" outlineLevel="0" collapsed="false">
      <c r="A15" s="5" t="s">
        <v>152</v>
      </c>
      <c r="B15" s="6" t="n">
        <f aca="false">COUNTIF(A3:A12,"Open")</f>
        <v>5</v>
      </c>
    </row>
  </sheetData>
  <autoFilter ref="A2:D12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8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7" t="s">
        <v>119</v>
      </c>
      <c r="B1" s="7" t="s">
        <v>153</v>
      </c>
      <c r="C1" s="7" t="s">
        <v>121</v>
      </c>
      <c r="D1" s="7" t="s">
        <v>154</v>
      </c>
    </row>
    <row r="2" customFormat="false" ht="23.85" hidden="false" customHeight="false" outlineLevel="0" collapsed="false">
      <c r="A2" s="3" t="s">
        <v>81</v>
      </c>
      <c r="B2" s="3" t="s">
        <v>155</v>
      </c>
      <c r="C2" s="3" t="s">
        <v>156</v>
      </c>
      <c r="D2" s="3" t="s">
        <v>157</v>
      </c>
    </row>
    <row r="3" customFormat="false" ht="15" hidden="false" customHeight="false" outlineLevel="0" collapsed="false">
      <c r="A3" s="3" t="s">
        <v>81</v>
      </c>
      <c r="B3" s="3" t="s">
        <v>158</v>
      </c>
      <c r="C3" s="3" t="s">
        <v>159</v>
      </c>
      <c r="D3" s="3" t="s">
        <v>160</v>
      </c>
    </row>
    <row r="4" customFormat="false" ht="15" hidden="false" customHeight="false" outlineLevel="0" collapsed="false">
      <c r="A4" s="3" t="s">
        <v>81</v>
      </c>
      <c r="B4" s="3" t="s">
        <v>161</v>
      </c>
      <c r="C4" s="3" t="s">
        <v>162</v>
      </c>
      <c r="D4" s="3" t="s">
        <v>163</v>
      </c>
    </row>
    <row r="5" customFormat="false" ht="23.85" hidden="false" customHeight="false" outlineLevel="0" collapsed="false">
      <c r="A5" s="3" t="s">
        <v>81</v>
      </c>
      <c r="B5" s="3" t="s">
        <v>164</v>
      </c>
      <c r="C5" s="3" t="s">
        <v>165</v>
      </c>
      <c r="D5" s="3" t="s">
        <v>166</v>
      </c>
    </row>
    <row r="6" customFormat="false" ht="15" hidden="false" customHeight="false" outlineLevel="0" collapsed="false">
      <c r="A6" s="3" t="s">
        <v>81</v>
      </c>
      <c r="B6" s="3" t="s">
        <v>167</v>
      </c>
      <c r="C6" s="3" t="s">
        <v>168</v>
      </c>
      <c r="D6" s="3" t="s">
        <v>169</v>
      </c>
    </row>
    <row r="7" customFormat="false" ht="15" hidden="false" customHeight="false" outlineLevel="0" collapsed="false">
      <c r="A7" s="3" t="s">
        <v>81</v>
      </c>
      <c r="B7" s="3" t="s">
        <v>170</v>
      </c>
      <c r="C7" s="3" t="s">
        <v>171</v>
      </c>
      <c r="D7" s="3" t="s">
        <v>172</v>
      </c>
    </row>
    <row r="8" customFormat="false" ht="15" hidden="false" customHeight="false" outlineLevel="0" collapsed="false">
      <c r="A8" s="3" t="s">
        <v>81</v>
      </c>
      <c r="B8" s="3" t="s">
        <v>170</v>
      </c>
      <c r="C8" s="3" t="s">
        <v>173</v>
      </c>
      <c r="D8" s="3" t="s">
        <v>174</v>
      </c>
    </row>
    <row r="9" customFormat="false" ht="15" hidden="false" customHeight="false" outlineLevel="0" collapsed="false">
      <c r="A9" s="3" t="s">
        <v>81</v>
      </c>
      <c r="B9" s="3" t="s">
        <v>175</v>
      </c>
      <c r="C9" s="3" t="s">
        <v>176</v>
      </c>
      <c r="D9" s="3" t="s">
        <v>177</v>
      </c>
    </row>
    <row r="10" customFormat="false" ht="15" hidden="false" customHeight="false" outlineLevel="0" collapsed="false">
      <c r="A10" s="3" t="s">
        <v>81</v>
      </c>
      <c r="B10" s="3" t="s">
        <v>178</v>
      </c>
      <c r="C10" s="3" t="s">
        <v>179</v>
      </c>
      <c r="D10" s="3" t="s">
        <v>180</v>
      </c>
    </row>
    <row r="11" customFormat="false" ht="15" hidden="false" customHeight="false" outlineLevel="0" collapsed="false">
      <c r="A11" s="3" t="s">
        <v>137</v>
      </c>
      <c r="B11" s="3" t="s">
        <v>170</v>
      </c>
      <c r="C11" s="3" t="s">
        <v>181</v>
      </c>
      <c r="D11" s="3" t="s">
        <v>182</v>
      </c>
    </row>
    <row r="12" customFormat="false" ht="23.85" hidden="false" customHeight="false" outlineLevel="0" collapsed="false">
      <c r="A12" s="3" t="s">
        <v>137</v>
      </c>
      <c r="B12" s="3" t="s">
        <v>170</v>
      </c>
      <c r="C12" s="3" t="s">
        <v>183</v>
      </c>
      <c r="D12" s="3" t="s">
        <v>184</v>
      </c>
    </row>
    <row r="13" customFormat="false" ht="15" hidden="false" customHeight="false" outlineLevel="0" collapsed="false">
      <c r="A13" s="3" t="s">
        <v>137</v>
      </c>
      <c r="B13" s="3" t="s">
        <v>185</v>
      </c>
      <c r="C13" s="3" t="s">
        <v>186</v>
      </c>
      <c r="D13" s="3" t="s">
        <v>187</v>
      </c>
    </row>
    <row r="14" customFormat="false" ht="26.85" hidden="false" customHeight="false" outlineLevel="0" collapsed="false">
      <c r="A14" s="3" t="s">
        <v>137</v>
      </c>
      <c r="B14" s="3" t="s">
        <v>188</v>
      </c>
      <c r="C14" s="3" t="s">
        <v>189</v>
      </c>
      <c r="D14" s="3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2026-10-19T09:01:46Z</dcterms:created>
  <dc:creator>openpyxl</dc:creator>
  <dc:description/>
  <dc:language>en-US</dc:language>
  <cp:lastModifiedBy/>
  <dcterms:modified xsi:type="dcterms:W3CDTF">2026-10-19T09:45:17Z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