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점검표" sheetId="2" state="visible" r:id="rId4"/>
    <sheet name="점검 기준" sheetId="3" state="visible" r:id="rId5"/>
  </sheets>
  <definedNames>
    <definedName function="false" hidden="true" localSheetId="1" name="_xlnm._FilterDatabase" vbProcedure="false">점검표!$A$1:$R$450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<sst xmlns="http://schemas.openxmlformats.org/spreadsheetml/2006/main" count="4426" uniqueCount="912">
  <si>
    <t xml:space="preserve">페이지</t>
  </si>
  <si>
    <t xml:space="preserve">이미지</t>
  </si>
  <si>
    <t xml:space="preserve">영상</t>
  </si>
  <si>
    <t xml:space="preserve">오디오</t>
  </si>
  <si>
    <t xml:space="preserve">전체 항목</t>
  </si>
  <si>
    <t xml:space="preserve">적합</t>
  </si>
  <si>
    <t xml:space="preserve">확인필요</t>
  </si>
  <si>
    <t xml:space="preserve">오류</t>
  </si>
  <si>
    <t xml:space="preserve">점검 결과</t>
  </si>
  <si>
    <t xml:space="preserve">index.html</t>
  </si>
  <si>
    <t xml:space="preserve">company.html</t>
  </si>
  <si>
    <t xml:space="preserve">products.html</t>
  </si>
  <si>
    <t xml:space="preserve">facps.html</t>
  </si>
  <si>
    <t xml:space="preserve">dts_facps.html</t>
  </si>
  <si>
    <t xml:space="preserve">fos_fire_monitoring.html</t>
  </si>
  <si>
    <t xml:space="preserve">detectors.html</t>
  </si>
  <si>
    <t xml:space="preserve">sofire.html</t>
  </si>
  <si>
    <t xml:space="preserve">underground_monitoring.html</t>
  </si>
  <si>
    <t xml:space="preserve">firefighter.html</t>
  </si>
  <si>
    <t xml:space="preserve">smart_name_tag.html</t>
  </si>
  <si>
    <t xml:space="preserve">mesh_collector.html</t>
  </si>
  <si>
    <t xml:space="preserve">network.html</t>
  </si>
  <si>
    <t xml:space="preserve">scada.html</t>
  </si>
  <si>
    <t xml:space="preserve">dnc.html</t>
  </si>
  <si>
    <t xml:space="preserve">construction.html</t>
  </si>
  <si>
    <t xml:space="preserve">construction_supervision.html</t>
  </si>
  <si>
    <t xml:space="preserve">blackbox.html</t>
  </si>
  <si>
    <t xml:space="preserve">base_station.html</t>
  </si>
  <si>
    <t xml:space="preserve">fireprotect-b2b-landing.html</t>
  </si>
  <si>
    <t xml:space="preserve">speaker.html</t>
  </si>
  <si>
    <t xml:space="preserve">projects.html</t>
  </si>
  <si>
    <t xml:space="preserve">tech.html</t>
  </si>
  <si>
    <t xml:space="preserve">합계</t>
  </si>
  <si>
    <t xml:space="preserve">No</t>
  </si>
  <si>
    <t xml:space="preserve">위치</t>
  </si>
  <si>
    <t xml:space="preserve">요소</t>
  </si>
  <si>
    <r>
      <rPr>
        <b val="true"/>
        <sz val="11"/>
        <color rgb="FFFFFFFF"/>
        <rFont val="Noto Sans CJK SC"/>
        <family val="2"/>
      </rPr>
      <t xml:space="preserve">박스</t>
    </r>
    <r>
      <rPr>
        <b val="true"/>
        <sz val="11"/>
        <color rgb="FFFFFFFF"/>
        <rFont val="Arial"/>
        <family val="0"/>
        <charset val="1"/>
      </rPr>
      <t xml:space="preserve">/ID</t>
    </r>
  </si>
  <si>
    <t xml:space="preserve">파일명</t>
  </si>
  <si>
    <t xml:space="preserve">출처</t>
  </si>
  <si>
    <r>
      <rPr>
        <b val="true"/>
        <sz val="11"/>
        <color rgb="FFFFFFFF"/>
        <rFont val="Noto Sans CJK SC"/>
        <family val="2"/>
      </rPr>
      <t xml:space="preserve">상태</t>
    </r>
    <r>
      <rPr>
        <b val="true"/>
        <sz val="11"/>
        <color rgb="FFFFFFFF"/>
        <rFont val="Arial"/>
        <family val="0"/>
        <charset val="1"/>
      </rPr>
      <t xml:space="preserve">(HTTP)</t>
    </r>
  </si>
  <si>
    <r>
      <rPr>
        <b val="true"/>
        <sz val="11"/>
        <color rgb="FFFFFFFF"/>
        <rFont val="Noto Sans CJK SC"/>
        <family val="2"/>
      </rPr>
      <t xml:space="preserve">대체 </t>
    </r>
    <r>
      <rPr>
        <b val="true"/>
        <sz val="11"/>
        <color rgb="FFFFFFFF"/>
        <rFont val="Arial"/>
        <family val="0"/>
        <charset val="1"/>
      </rPr>
      <t xml:space="preserve">URL </t>
    </r>
    <r>
      <rPr>
        <b val="true"/>
        <sz val="11"/>
        <color rgb="FFFFFFFF"/>
        <rFont val="Noto Sans CJK SC"/>
        <family val="2"/>
      </rPr>
      <t xml:space="preserve">상태</t>
    </r>
  </si>
  <si>
    <r>
      <rPr>
        <b val="true"/>
        <sz val="11"/>
        <color rgb="FFFFFFFF"/>
        <rFont val="Noto Sans CJK SC"/>
        <family val="2"/>
      </rPr>
      <t xml:space="preserve">용량</t>
    </r>
    <r>
      <rPr>
        <b val="true"/>
        <sz val="11"/>
        <color rgb="FFFFFFFF"/>
        <rFont val="Arial"/>
        <family val="0"/>
        <charset val="1"/>
      </rPr>
      <t xml:space="preserve">(KB)</t>
    </r>
  </si>
  <si>
    <r>
      <rPr>
        <b val="true"/>
        <sz val="11"/>
        <color rgb="FFFFFFFF"/>
        <rFont val="Noto Sans CJK SC"/>
        <family val="2"/>
      </rPr>
      <t xml:space="preserve">가로</t>
    </r>
    <r>
      <rPr>
        <b val="true"/>
        <sz val="11"/>
        <color rgb="FFFFFFFF"/>
        <rFont val="Arial"/>
        <family val="0"/>
        <charset val="1"/>
      </rPr>
      <t xml:space="preserve">(px)</t>
    </r>
  </si>
  <si>
    <r>
      <rPr>
        <b val="true"/>
        <sz val="11"/>
        <color rgb="FFFFFFFF"/>
        <rFont val="Noto Sans CJK SC"/>
        <family val="2"/>
      </rPr>
      <t xml:space="preserve">세로</t>
    </r>
    <r>
      <rPr>
        <b val="true"/>
        <sz val="11"/>
        <color rgb="FFFFFFFF"/>
        <rFont val="Arial"/>
        <family val="0"/>
        <charset val="1"/>
      </rPr>
      <t xml:space="preserve">(px)</t>
    </r>
  </si>
  <si>
    <r>
      <rPr>
        <b val="true"/>
        <sz val="11"/>
        <color rgb="FFFFFFFF"/>
        <rFont val="Noto Sans CJK SC"/>
        <family val="2"/>
      </rPr>
      <t xml:space="preserve">비율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가로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세로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</si>
  <si>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alt</t>
  </si>
  <si>
    <t xml:space="preserve">판정</t>
  </si>
  <si>
    <r>
      <rPr>
        <b val="true"/>
        <sz val="11"/>
        <color rgb="FFFFFFFF"/>
        <rFont val="Noto Sans CJK SC"/>
        <family val="2"/>
      </rPr>
      <t xml:space="preserve">확인 사항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자동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</si>
  <si>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수동 확인 메모</t>
  </si>
  <si>
    <r>
      <rPr>
        <b val="true"/>
        <sz val="11"/>
        <color rgb="FFFFFFFF"/>
        <rFont val="Noto Sans CJK SC"/>
        <family val="2"/>
      </rPr>
      <t xml:space="preserve">소스 </t>
    </r>
    <r>
      <rPr>
        <b val="true"/>
        <sz val="11"/>
        <color rgb="FFFFFFFF"/>
        <rFont val="Arial"/>
        <family val="0"/>
        <charset val="1"/>
      </rPr>
      <t xml:space="preserve">URL</t>
    </r>
  </si>
  <si>
    <r>
      <rPr>
        <sz val="10"/>
        <rFont val="Arial"/>
        <family val="0"/>
        <charset val="1"/>
      </rPr>
      <t xml:space="preserve">Header/Footer(</t>
    </r>
    <r>
      <rPr>
        <sz val="10"/>
        <rFont val="Noto Sans CJK SC"/>
        <family val="2"/>
      </rPr>
      <t xml:space="preserve">공통</t>
    </r>
    <r>
      <rPr>
        <sz val="10"/>
        <rFont val="Arial"/>
        <family val="0"/>
        <charset val="1"/>
      </rPr>
      <t xml:space="preserve">)</t>
    </r>
  </si>
  <si>
    <t xml:space="preserve">img</t>
  </si>
  <si>
    <t xml:space="preserve">logo-img-wrap</t>
  </si>
  <si>
    <t xml:space="preserve">uno logo.webp</t>
  </si>
  <si>
    <t xml:space="preserve">GitHub</t>
  </si>
  <si>
    <r>
      <rPr>
        <sz val="10"/>
        <rFont val="Arial"/>
        <family val="0"/>
        <charset val="1"/>
      </rPr>
      <t xml:space="preserve">UNO SYSTEM </t>
    </r>
    <r>
      <rPr>
        <sz val="10"/>
        <rFont val="Noto Sans CJK SC"/>
        <family val="2"/>
      </rPr>
      <t xml:space="preserve">로고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</si>
  <si>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(3.43)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</si>
  <si>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https://raw.githubusercontent.com/soulthread88/imgs/main/homepage/uno/uno%20logo.webp</t>
  </si>
  <si>
    <t xml:space="preserve">본문</t>
  </si>
  <si>
    <t xml:space="preserve">box-full-hero</t>
  </si>
  <si>
    <t xml:space="preserve">uno facp with fiber optic lhd in power tunnel 3.webp</t>
  </si>
  <si>
    <t xml:space="preserve">유노시스템 통합관제센터와 광케이블 화재감지 전력구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</si>
  <si>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(2.94)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</si>
  <si>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https://raw.githubusercontent.com/soulthread88/imgs/main/homepage/uno/uno%20facp%20with%20fiber%20optic%20lhd%20in%20power%20tunnel%203.webp</t>
  </si>
  <si>
    <t xml:space="preserve">box-media-wrap</t>
  </si>
  <si>
    <r>
      <rPr>
        <sz val="10"/>
        <rFont val="Noto Sans CJK SC"/>
        <family val="2"/>
      </rPr>
      <t xml:space="preserve">케이블 터널 화재경보 현장 점검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</si>
  <si>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소방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화재 감지</t>
    </r>
  </si>
  <si>
    <t xml:space="preserve">파일명이 페이지 주제와 무관해 보임 — 내용 적합성 수동 확인</t>
  </si>
  <si>
    <t xml:space="preserve">https://raw.githubusercontent.com/soulthread88/imgs/main/homepage/uno/%EC%BC%80%EC%9D%B4%EB%B8%94%20%ED%84%B0%EB%84%90%20%ED%99%94%EC%9E%AC%EA%B2%BD%EB%B3%B4%20%ED%98%84%EC%9E%A5%20%EC%A0%90%EA%B2%80.webp</t>
  </si>
  <si>
    <r>
      <rPr>
        <sz val="10"/>
        <rFont val="Noto Sans CJK SC"/>
        <family val="2"/>
      </rPr>
      <t xml:space="preserve">소방통합감시시설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보조 수신기</t>
    </r>
    <r>
      <rPr>
        <sz val="10"/>
        <rFont val="Arial"/>
        <family val="0"/>
        <charset val="1"/>
      </rPr>
      <t xml:space="preserve">.webp</t>
    </r>
  </si>
  <si>
    <t xml:space="preserve">소방통합감시시설</t>
  </si>
  <si>
    <t xml:space="preserve">https://raw.githubusercontent.com/soulthread88/imgs/main/homepage/uno/%EC%86%8C%EB%B0%A9%ED%86%B5%ED%95%A9%EA%B0%90%EC%8B%9C%EC%8B%9C%EC%84%A4%20-%20%EB%B3%B4%EC%A1%B0%20%EC%88%98%EC%8B%A0%EA%B8%B0.webp</t>
  </si>
  <si>
    <r>
      <rPr>
        <sz val="10"/>
        <rFont val="Noto Sans CJK SC"/>
        <family val="2"/>
      </rPr>
      <t xml:space="preserve">부실 공사 사전 예방</t>
    </r>
    <r>
      <rPr>
        <sz val="10"/>
        <rFont val="Arial"/>
        <family val="0"/>
        <charset val="1"/>
      </rPr>
      <t xml:space="preserve">.webp</t>
    </r>
  </si>
  <si>
    <t xml:space="preserve">스마트 건설</t>
  </si>
  <si>
    <r>
      <rPr>
        <sz val="10"/>
        <rFont val="Noto Sans CJK SC"/>
        <family val="2"/>
      </rPr>
      <t xml:space="preserve">같은 페이지에서 중복 사용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</si>
  <si>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https://raw.githubusercontent.com/soulthread88/imgs/main/homepage/uno/%EB%B6%80%EC%8B%A4%20%EA%B3%B5%EC%82%AC%20%EC%82%AC%EC%A0%84%20%EC%98%88%EB%B0%A9.webp</t>
  </si>
  <si>
    <r>
      <rPr>
        <sz val="10"/>
        <rFont val="Noto Sans CJK SC"/>
        <family val="2"/>
      </rPr>
      <t xml:space="preserve">스마트 가전 에너지 서버</t>
    </r>
    <r>
      <rPr>
        <sz val="10"/>
        <rFont val="Arial"/>
        <family val="0"/>
        <charset val="1"/>
      </rPr>
      <t xml:space="preserve">.webp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</si>
  <si>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전자 생산 기지</t>
    </r>
  </si>
  <si>
    <t xml:space="preserve">https://raw.githubusercontent.com/soulthread88/imgs/main/homepage/uno/%EC%8A%A4%EB%A7%88%ED%8A%B8%20%EA%B0%80%EC%A0%84%20%EC%97%90%EB%84%88%EC%A7%80%20%EC%84%9C%EB%B2%84.webp</t>
  </si>
  <si>
    <t xml:space="preserve">uno facp with fiber optic lhd on ceiling 3.webp</t>
  </si>
  <si>
    <r>
      <rPr>
        <sz val="10"/>
        <rFont val="Noto Sans CJK SC"/>
        <family val="2"/>
      </rPr>
      <t xml:space="preserve">화재 수신기 </t>
    </r>
    <r>
      <rPr>
        <sz val="10"/>
        <rFont val="Arial"/>
        <family val="0"/>
        <charset val="1"/>
      </rPr>
      <t xml:space="preserve">(FACP)</t>
    </r>
  </si>
  <si>
    <t xml:space="preserve">https://raw.githubusercontent.com/soulthread88/imgs/main/homepage/uno/uno%20facp%20with%20fiber%20optic%20lhd%20on%20ceiling%203.webp</t>
  </si>
  <si>
    <r>
      <rPr>
        <sz val="10"/>
        <rFont val="Noto Sans CJK SC"/>
        <family val="2"/>
      </rPr>
      <t xml:space="preserve">빛을 잇는 광케이블 기술자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</si>
  <si>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선형열감지 </t>
    </r>
    <r>
      <rPr>
        <sz val="10"/>
        <rFont val="Arial"/>
        <family val="0"/>
        <charset val="1"/>
      </rPr>
      <t xml:space="preserve">DTS/LHD</t>
    </r>
  </si>
  <si>
    <t xml:space="preserve">https://raw.githubusercontent.com/soulthread88/imgs/main/homepage/uno/%EB%B9%9B%EC%9D%84%20%EC%9E%87%EB%8A%94%20%EA%B4%91%EC%BC%80%EC%9D%B4%EB%B8%94%20%EA%B8%B0%EC%88%A0%EC%9E%90.webp</t>
  </si>
  <si>
    <t xml:space="preserve">perimeter intrusion 2.webp</t>
  </si>
  <si>
    <r>
      <rPr>
        <sz val="10"/>
        <rFont val="Noto Sans CJK SC"/>
        <family val="2"/>
      </rPr>
      <t xml:space="preserve">분산음향감지 </t>
    </r>
    <r>
      <rPr>
        <sz val="10"/>
        <rFont val="Arial"/>
        <family val="0"/>
        <charset val="1"/>
      </rPr>
      <t xml:space="preserve">DAS</t>
    </r>
  </si>
  <si>
    <t xml:space="preserve">https://raw.githubusercontent.com/soulthread88/imgs/main/homepage/uno/perimeter%20intrusion%202.webp</t>
  </si>
  <si>
    <t xml:space="preserve">scada expander.webp</t>
  </si>
  <si>
    <r>
      <rPr>
        <sz val="10"/>
        <rFont val="Arial"/>
        <family val="0"/>
        <charset val="1"/>
      </rPr>
      <t xml:space="preserve">SCADA </t>
    </r>
    <r>
      <rPr>
        <sz val="10"/>
        <rFont val="Noto Sans CJK SC"/>
        <family val="2"/>
      </rPr>
      <t xml:space="preserve">통합 감시</t>
    </r>
  </si>
  <si>
    <t xml:space="preserve">https://raw.githubusercontent.com/soulthread88/imgs/main/homepage/uno/scada%20expander.webp</t>
  </si>
  <si>
    <r>
      <rPr>
        <sz val="10"/>
        <rFont val="Noto Sans CJK SC"/>
        <family val="2"/>
      </rPr>
      <t xml:space="preserve">베이스 스테이션 </t>
    </r>
    <r>
      <rPr>
        <sz val="10"/>
        <rFont val="Arial"/>
        <family val="0"/>
        <charset val="1"/>
      </rPr>
      <t xml:space="preserve">· Blackbox</t>
    </r>
  </si>
  <si>
    <r>
      <rPr>
        <sz val="10"/>
        <rFont val="Arial"/>
        <family val="0"/>
        <charset val="1"/>
      </rPr>
      <t xml:space="preserve">DNC L2 Ring </t>
    </r>
    <r>
      <rPr>
        <sz val="10"/>
        <rFont val="Noto Sans CJK SC"/>
        <family val="2"/>
      </rPr>
      <t xml:space="preserve">스위치 수납함</t>
    </r>
    <r>
      <rPr>
        <sz val="10"/>
        <rFont val="Arial"/>
        <family val="0"/>
        <charset val="1"/>
      </rPr>
      <t xml:space="preserve">.webp</t>
    </r>
  </si>
  <si>
    <t xml:space="preserve">네트워크 솔루션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</si>
  <si>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(0.8)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같은 페이지에서 중복 사용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</si>
  <si>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https://raw.githubusercontent.com/soulthread88/imgs/main/homepage/uno/DNC%20L2%20Ring%20%EC%8A%A4%EC%9C%84%EC%B9%98%20%EC%88%98%EB%82%A9%ED%95%A8.webp</t>
  </si>
  <si>
    <t xml:space="preserve">uno facp 2.webp</t>
  </si>
  <si>
    <t xml:space="preserve">수신기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</si>
  <si>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(0.71)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</si>
  <si>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https://raw.githubusercontent.com/soulthread88/imgs/main/homepage/uno/uno%20facp%202.webp</t>
  </si>
  <si>
    <r>
      <rPr>
        <sz val="10"/>
        <rFont val="Noto Sans CJK SC"/>
        <family val="2"/>
      </rPr>
      <t xml:space="preserve">횡파 스피커 </t>
    </r>
    <r>
      <rPr>
        <sz val="10"/>
        <rFont val="Arial"/>
        <family val="0"/>
        <charset val="1"/>
      </rPr>
      <t xml:space="preserve">3.webp</t>
    </r>
  </si>
  <si>
    <t xml:space="preserve">횡파 스피커</t>
  </si>
  <si>
    <t xml:space="preserve">https://raw.githubusercontent.com/soulthread88/imgs/main/homepage/uno/%ED%9A%A1%ED%8C%8C%20%EC%8A%A4%ED%94%BC%EC%BB%A4%203.webp</t>
  </si>
  <si>
    <t xml:space="preserve">DNC</t>
  </si>
  <si>
    <t xml:space="preserve">Acess DTS Unit from Bandweaver.webp</t>
  </si>
  <si>
    <t xml:space="preserve">DTS/DAS</t>
  </si>
  <si>
    <t xml:space="preserve">https://raw.githubusercontent.com/soulthread88/imgs/main/homepage/uno/Acess%20DTS%20Unit%20from%20Bandweaver.webp</t>
  </si>
  <si>
    <r>
      <rPr>
        <sz val="10"/>
        <rFont val="Noto Sans CJK SC"/>
        <family val="2"/>
      </rPr>
      <t xml:space="preserve">광케이블식 화재감시시스템 구성도</t>
    </r>
    <r>
      <rPr>
        <sz val="10"/>
        <rFont val="Arial"/>
        <family val="0"/>
        <charset val="1"/>
      </rPr>
      <t xml:space="preserve">.webp</t>
    </r>
  </si>
  <si>
    <t xml:space="preserve">광케이블식 화재감시</t>
  </si>
  <si>
    <t xml:space="preserve">https://raw.githubusercontent.com/soulthread88/imgs/main/homepage/uno/%EA%B4%91%EC%BC%80%EC%9D%B4%EB%B8%94%EC%8B%9D%20%ED%99%94%EC%9E%AC%EA%B0%90%EC%8B%9C%EC%8B%9C%EC%8A%A4%ED%85%9C%20%EA%B5%AC%EC%84%B1%EB%8F%84.webp</t>
  </si>
  <si>
    <r>
      <rPr>
        <sz val="10"/>
        <rFont val="Noto Sans CJK SC"/>
        <family val="2"/>
      </rPr>
      <t xml:space="preserve">지하구 통합감시시설 구성도</t>
    </r>
    <r>
      <rPr>
        <sz val="10"/>
        <rFont val="Arial"/>
        <family val="0"/>
        <charset val="1"/>
      </rPr>
      <t xml:space="preserve">.webp</t>
    </r>
  </si>
  <si>
    <t xml:space="preserve">지하구 통합감시</t>
  </si>
  <si>
    <t xml:space="preserve">https://raw.githubusercontent.com/soulthread88/imgs/main/homepage/uno/%EC%A7%80%ED%95%98%EA%B5%AC%20%ED%86%B5%ED%95%A9%EA%B0%90%EC%8B%9C%EC%8B%9C%EC%84%A4%20%EA%B5%AC%EC%84%B1%EB%8F%84.webp</t>
  </si>
  <si>
    <r>
      <rPr>
        <sz val="10"/>
        <rFont val="Noto Sans CJK SC"/>
        <family val="2"/>
      </rPr>
      <t xml:space="preserve">소방관 </t>
    </r>
    <r>
      <rPr>
        <sz val="10"/>
        <rFont val="Arial"/>
        <family val="0"/>
        <charset val="1"/>
      </rPr>
      <t xml:space="preserve">Smart Name </t>
    </r>
    <r>
      <rPr>
        <sz val="10"/>
        <rFont val="Noto Sans CJK SC"/>
        <family val="2"/>
      </rPr>
      <t xml:space="preserve">태그 구성도</t>
    </r>
    <r>
      <rPr>
        <sz val="10"/>
        <rFont val="Arial"/>
        <family val="0"/>
        <charset val="1"/>
      </rPr>
      <t xml:space="preserve">.webp</t>
    </r>
  </si>
  <si>
    <t xml:space="preserve">소방관 안전 솔루션</t>
  </si>
  <si>
    <t xml:space="preserve">https://raw.githubusercontent.com/soulthread88/imgs/main/homepage/uno/%EC%86%8C%EB%B0%A9%EA%B4%80%20Smart%20Name%20%ED%83%9C%EA%B7%B8%20%EA%B5%AC%EC%84%B1%EB%8F%84.webp</t>
  </si>
  <si>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블랙박스 기지국 시스템</t>
    </r>
    <r>
      <rPr>
        <sz val="10"/>
        <rFont val="Arial"/>
        <family val="0"/>
        <charset val="1"/>
      </rPr>
      <t xml:space="preserve">.webp</t>
    </r>
  </si>
  <si>
    <t xml:space="preserve">스마트 건설감리</t>
  </si>
  <si>
    <t xml:space="preserve">https://raw.githubusercontent.com/soulthread88/imgs/main/homepage/uno/RTK%20%EB%B8%94%EB%9E%99%EB%B0%95%EC%8A%A4%20%EA%B8%B0%EC%A7%80%EA%B5%AD%20%EC%8B%9C%EC%8A%A4%ED%85%9C.webp</t>
  </si>
  <si>
    <t xml:space="preserve">gallery-item</t>
  </si>
  <si>
    <r>
      <rPr>
        <sz val="10"/>
        <rFont val="Noto Sans CJK SC"/>
        <family val="2"/>
      </rPr>
      <t xml:space="preserve">무선 메쉬 화재 정보수집장치 구성도</t>
    </r>
    <r>
      <rPr>
        <sz val="10"/>
        <rFont val="Arial"/>
        <family val="0"/>
        <charset val="1"/>
      </rPr>
      <t xml:space="preserve">.webp</t>
    </r>
  </si>
  <si>
    <t xml:space="preserve">무선 메쉬 화재 정보수집장치</t>
  </si>
  <si>
    <t xml:space="preserve">https://raw.githubusercontent.com/soulthread88/imgs/main/homepage/uno/%EB%AC%B4%EC%84%A0%20%EB%A9%94%EC%89%AC%20%ED%99%94%EC%9E%AC%20%EC%A0%95%EB%B3%B4%EC%88%98%EC%A7%91%EC%9E%A5%EC%B9%98%20%EA%B5%AC%EC%84%B1%EB%8F%84.webp</t>
  </si>
  <si>
    <r>
      <rPr>
        <sz val="10"/>
        <rFont val="Noto Sans CJK SC"/>
        <family val="2"/>
      </rPr>
      <t xml:space="preserve">스마트 건설감리시스템 구성도</t>
    </r>
    <r>
      <rPr>
        <sz val="10"/>
        <rFont val="Arial"/>
        <family val="0"/>
        <charset val="1"/>
      </rPr>
      <t xml:space="preserve">.webp</t>
    </r>
  </si>
  <si>
    <t xml:space="preserve">스마트 건설감리시스템 구성도</t>
  </si>
  <si>
    <t xml:space="preserve">https://raw.githubusercontent.com/soulthread88/imgs/main/homepage/uno/%EC%8A%A4%EB%A7%88%ED%8A%B8%20%EA%B1%B4%EC%84%A4%EA%B0%90%EB%A6%AC%EC%8B%9C%EC%8A%A4%ED%85%9C%20%EA%B5%AC%EC%84%B1%EB%8F%84.webp</t>
  </si>
  <si>
    <r>
      <rPr>
        <sz val="10"/>
        <rFont val="Noto Sans CJK SC"/>
        <family val="2"/>
      </rPr>
      <t xml:space="preserve">베이스 스테이션 구성도</t>
    </r>
    <r>
      <rPr>
        <sz val="10"/>
        <rFont val="Arial"/>
        <family val="0"/>
        <charset val="1"/>
      </rPr>
      <t xml:space="preserve">.webp</t>
    </r>
  </si>
  <si>
    <t xml:space="preserve">베이스 스테이션 구성도</t>
  </si>
  <si>
    <t xml:space="preserve">https://raw.githubusercontent.com/soulthread88/imgs/main/homepage/uno/%EB%B2%A0%EC%9D%B4%EC%8A%A4%20%EC%8A%A4%ED%85%8C%EC%9D%B4%EC%85%98%20%EA%B5%AC%EC%84%B1%EB%8F%84.webp</t>
  </si>
  <si>
    <r>
      <rPr>
        <sz val="10"/>
        <rFont val="Noto Sans CJK SC"/>
        <family val="2"/>
      </rPr>
      <t xml:space="preserve">실시간 </t>
    </r>
    <r>
      <rPr>
        <sz val="10"/>
        <rFont val="Arial"/>
        <family val="0"/>
        <charset val="1"/>
      </rPr>
      <t xml:space="preserve">GIS </t>
    </r>
    <r>
      <rPr>
        <sz val="10"/>
        <rFont val="Noto Sans CJK SC"/>
        <family val="2"/>
      </rPr>
      <t xml:space="preserve">연동 원격 모니터링 구성도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</si>
  <si>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실시간 </t>
    </r>
    <r>
      <rPr>
        <sz val="10"/>
        <rFont val="Arial"/>
        <family val="0"/>
        <charset val="1"/>
      </rPr>
      <t xml:space="preserve">GIS </t>
    </r>
    <r>
      <rPr>
        <sz val="10"/>
        <rFont val="Noto Sans CJK SC"/>
        <family val="2"/>
      </rPr>
      <t xml:space="preserve">연동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원격 모니터링</t>
    </r>
  </si>
  <si>
    <t xml:space="preserve">https://raw.githubusercontent.com/soulthread88/imgs/main/homepage/uno/%EC%8B%A4%EC%8B%9C%EA%B0%84%20GIS%20%EC%97%B0%EB%8F%99%20%EC%9B%90%EA%B2%A9%20%EB%AA%A8%EB%8B%88%ED%84%B0%EB%A7%81%20%EA%B5%AC%EC%84%B1%EB%8F%84.webp</t>
  </si>
  <si>
    <r>
      <rPr>
        <sz val="10"/>
        <rFont val="Noto Sans CJK SC"/>
        <family val="2"/>
      </rPr>
      <t xml:space="preserve">베이스 스테이션 통신 경로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</si>
  <si>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베이스 스테이션 </t>
    </r>
    <r>
      <rPr>
        <sz val="10"/>
        <rFont val="Arial"/>
        <family val="0"/>
        <charset val="1"/>
      </rPr>
      <t xml:space="preserve">LTE·Wi-Fi </t>
    </r>
    <r>
      <rPr>
        <sz val="10"/>
        <rFont val="Noto Sans CJK SC"/>
        <family val="2"/>
      </rPr>
      <t xml:space="preserve">통신 경로</t>
    </r>
  </si>
  <si>
    <t xml:space="preserve">https://raw.githubusercontent.com/soulthread88/imgs/main/homepage/uno/%EB%B2%A0%EC%9D%B4%EC%8A%A4%20%EC%8A%A4%ED%85%8C%EC%9D%B4%EC%85%98%20%ED%86%B5%EC%8B%A0%20%EA%B2%BD%EB%A1%9C.webp</t>
  </si>
  <si>
    <r>
      <rPr>
        <sz val="10"/>
        <rFont val="Noto Sans CJK SC"/>
        <family val="2"/>
      </rPr>
      <t xml:space="preserve">베이스 스테이션 옥외 설치</t>
    </r>
    <r>
      <rPr>
        <sz val="10"/>
        <rFont val="Arial"/>
        <family val="0"/>
        <charset val="1"/>
      </rPr>
      <t xml:space="preserve">.webp</t>
    </r>
  </si>
  <si>
    <t xml:space="preserve">베이스 스테이션 옥외 설치</t>
  </si>
  <si>
    <r>
      <rPr>
        <sz val="10"/>
        <rFont val="Noto Sans CJK SC"/>
        <family val="2"/>
      </rPr>
      <t xml:space="preserve">용량 큼</t>
    </r>
    <r>
      <rPr>
        <sz val="10"/>
        <rFont val="Arial"/>
        <family val="0"/>
        <charset val="1"/>
      </rPr>
      <t xml:space="preserve">(400KB </t>
    </r>
    <r>
      <rPr>
        <sz val="10"/>
        <rFont val="Noto Sans CJK SC"/>
        <family val="2"/>
      </rPr>
      <t xml:space="preserve">초과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압축</t>
    </r>
    <r>
      <rPr>
        <sz val="10"/>
        <rFont val="Arial"/>
        <family val="0"/>
        <charset val="1"/>
      </rPr>
      <t xml:space="preserve">/WebP </t>
    </r>
    <r>
      <rPr>
        <sz val="10"/>
        <rFont val="Noto Sans CJK SC"/>
        <family val="2"/>
      </rPr>
      <t xml:space="preserve">권장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</si>
  <si>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https://raw.githubusercontent.com/soulthread88/imgs/main/homepage/uno/%EB%B2%A0%EC%9D%B4%EC%8A%A4%20%EC%8A%A4%ED%85%8C%EC%9D%B4%EC%85%98%20%EC%98%A5%EC%99%B8%20%EC%84%A4%EC%B9%98.webp</t>
  </si>
  <si>
    <t xml:space="preserve">kepco.webp</t>
  </si>
  <si>
    <r>
      <rPr>
        <sz val="10"/>
        <rFont val="Noto Sans CJK SC"/>
        <family val="2"/>
      </rPr>
      <t xml:space="preserve">한국전력 </t>
    </r>
    <r>
      <rPr>
        <sz val="10"/>
        <rFont val="Arial"/>
        <family val="0"/>
        <charset val="1"/>
      </rPr>
      <t xml:space="preserve">(KEPCO)</t>
    </r>
  </si>
  <si>
    <t xml:space="preserve">https://raw.githubusercontent.com/soulthread88/imgs/main/homepage/uno/kepco.webp</t>
  </si>
  <si>
    <r>
      <rPr>
        <sz val="10"/>
        <rFont val="Arial"/>
        <family val="0"/>
        <charset val="1"/>
      </rPr>
      <t xml:space="preserve">LG</t>
    </r>
    <r>
      <rPr>
        <sz val="10"/>
        <rFont val="Noto Sans CJK SC"/>
        <family val="2"/>
      </rPr>
      <t xml:space="preserve">전자 </t>
    </r>
    <r>
      <rPr>
        <sz val="10"/>
        <rFont val="Arial"/>
        <family val="0"/>
        <charset val="1"/>
      </rPr>
      <t xml:space="preserve">Logo.webp</t>
    </r>
  </si>
  <si>
    <r>
      <rPr>
        <sz val="10"/>
        <rFont val="Arial"/>
        <family val="0"/>
        <charset val="1"/>
      </rPr>
      <t xml:space="preserve">LG</t>
    </r>
    <r>
      <rPr>
        <sz val="10"/>
        <rFont val="Noto Sans CJK SC"/>
        <family val="2"/>
      </rPr>
      <t xml:space="preserve">전자</t>
    </r>
  </si>
  <si>
    <t xml:space="preserve">https://raw.githubusercontent.com/soulthread88/imgs/main/homepage/uno/LG%EC%A0%84%EC%9E%90%20Logo.webp</t>
  </si>
  <si>
    <t xml:space="preserve">kt.png.webp</t>
  </si>
  <si>
    <t xml:space="preserve">KT</t>
  </si>
  <si>
    <t xml:space="preserve">https://raw.githubusercontent.com/soulthread88/imgs/main/homepage/uno/kt.png.webp</t>
  </si>
  <si>
    <r>
      <rPr>
        <sz val="10"/>
        <rFont val="Noto Sans CJK SC"/>
        <family val="2"/>
      </rPr>
      <t xml:space="preserve">서울교통공사</t>
    </r>
    <r>
      <rPr>
        <sz val="10"/>
        <rFont val="Arial"/>
        <family val="0"/>
        <charset val="1"/>
      </rPr>
      <t xml:space="preserve">.png.webp</t>
    </r>
  </si>
  <si>
    <t xml:space="preserve">서울교통공사</t>
  </si>
  <si>
    <t xml:space="preserve">https://raw.githubusercontent.com/soulthread88/imgs/main/homepage/uno/%EC%84%9C%EC%9A%B8%EA%B5%90%ED%86%B5%EA%B3%B5%EC%82%AC.png.webp</t>
  </si>
  <si>
    <r>
      <rPr>
        <sz val="10"/>
        <rFont val="Noto Sans CJK SC"/>
        <family val="2"/>
      </rPr>
      <t xml:space="preserve">서울교통공사</t>
    </r>
    <r>
      <rPr>
        <sz val="10"/>
        <rFont val="Arial"/>
        <family val="0"/>
        <charset val="1"/>
      </rPr>
      <t xml:space="preserve">.jpg.webp</t>
    </r>
  </si>
  <si>
    <t xml:space="preserve">서울메트로</t>
  </si>
  <si>
    <t xml:space="preserve">https://raw.githubusercontent.com/soulthread88/imgs/main/homepage/uno/%EC%84%9C%EC%9A%B8%EA%B5%90%ED%86%B5%EA%B3%B5%EC%82%AC.jpg.webp</t>
  </si>
  <si>
    <r>
      <rPr>
        <sz val="10"/>
        <rFont val="Noto Sans CJK SC"/>
        <family val="2"/>
      </rPr>
      <t xml:space="preserve">한국도로공사</t>
    </r>
    <r>
      <rPr>
        <sz val="10"/>
        <rFont val="Arial"/>
        <family val="0"/>
        <charset val="1"/>
      </rPr>
      <t xml:space="preserve">.webp</t>
    </r>
  </si>
  <si>
    <t xml:space="preserve">한국도로공사</t>
  </si>
  <si>
    <t xml:space="preserve">https://raw.githubusercontent.com/soulthread88/imgs/main/homepage/uno/%ED%95%9C%EA%B5%AD%EB%8F%84%EB%A1%9C%EA%B3%B5%EC%82%AC.webp</t>
  </si>
  <si>
    <r>
      <rPr>
        <sz val="10"/>
        <rFont val="Noto Sans CJK SC"/>
        <family val="2"/>
      </rPr>
      <t xml:space="preserve">한국토지주택공사</t>
    </r>
    <r>
      <rPr>
        <sz val="10"/>
        <rFont val="Arial"/>
        <family val="0"/>
        <charset val="1"/>
      </rPr>
      <t xml:space="preserve">.png.webp</t>
    </r>
  </si>
  <si>
    <r>
      <rPr>
        <sz val="10"/>
        <rFont val="Noto Sans CJK SC"/>
        <family val="2"/>
      </rPr>
      <t xml:space="preserve">한국토지주택공사 </t>
    </r>
    <r>
      <rPr>
        <sz val="10"/>
        <rFont val="Arial"/>
        <family val="0"/>
        <charset val="1"/>
      </rPr>
      <t xml:space="preserve">(LH)</t>
    </r>
  </si>
  <si>
    <t xml:space="preserve">https://raw.githubusercontent.com/soulthread88/imgs/main/homepage/uno/%ED%95%9C%EA%B5%AD%ED%86%A0%EC%A7%80%EC%A3%BC%ED%83%9D%EA%B3%B5%EC%82%AC.png.webp</t>
  </si>
  <si>
    <t xml:space="preserve">Samsung_logo_blue.webp</t>
  </si>
  <si>
    <t xml:space="preserve">삼성전자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</si>
  <si>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(3.05)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</si>
  <si>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https://raw.githubusercontent.com/soulthread88/imgs/main/homepage/uno/Samsung_logo_blue.webp</t>
  </si>
  <si>
    <t xml:space="preserve">LG CNS Logo.webp</t>
  </si>
  <si>
    <t xml:space="preserve">LG CNS</t>
  </si>
  <si>
    <t xml:space="preserve">https://raw.githubusercontent.com/soulthread88/imgs/main/homepage/uno/LG%20CNS%20Logo.webp</t>
  </si>
  <si>
    <t xml:space="preserve">engineer servicing uno facp.webp</t>
  </si>
  <si>
    <t xml:space="preserve">문의 이미지</t>
  </si>
  <si>
    <t xml:space="preserve">https://raw.githubusercontent.com/soulthread88/imgs/main/homepage/uno/engineer%20servicing%20uno%20facp.webp</t>
  </si>
  <si>
    <t xml:space="preserve">foot-img-col</t>
  </si>
  <si>
    <r>
      <rPr>
        <sz val="10"/>
        <rFont val="Noto Sans CJK SC"/>
        <family val="2"/>
      </rPr>
      <t xml:space="preserve">원격 관제 센터</t>
    </r>
    <r>
      <rPr>
        <sz val="10"/>
        <rFont val="Arial"/>
        <family val="0"/>
        <charset val="1"/>
      </rPr>
      <t xml:space="preserve">.webp</t>
    </r>
  </si>
  <si>
    <t xml:space="preserve">유노시스템 원격 관제 센터</t>
  </si>
  <si>
    <t xml:space="preserve">https://raw.githubusercontent.com/soulthread88/imgs/main/homepage/uno/%EC%9B%90%EA%B2%A9%20%EA%B4%80%EC%A0%9C%20%EC%84%BC%ED%84%B0.webp</t>
  </si>
  <si>
    <t xml:space="preserve">foot-logo-wrap</t>
  </si>
  <si>
    <t xml:space="preserve">head</t>
  </si>
  <si>
    <t xml:space="preserve">og:image</t>
  </si>
  <si>
    <t xml:space="preserve">uno facp with fiber optic lhd in power tunnel 3.png</t>
  </si>
  <si>
    <t xml:space="preserve">-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</si>
  <si>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</si>
  <si>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용량 큼</t>
    </r>
    <r>
      <rPr>
        <sz val="10"/>
        <rFont val="Arial"/>
        <family val="0"/>
        <charset val="1"/>
      </rPr>
      <t xml:space="preserve">(400KB </t>
    </r>
    <r>
      <rPr>
        <sz val="10"/>
        <rFont val="Noto Sans CJK SC"/>
        <family val="2"/>
      </rPr>
      <t xml:space="preserve">초과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압축</t>
    </r>
    <r>
      <rPr>
        <sz val="10"/>
        <rFont val="Arial"/>
        <family val="0"/>
        <charset val="1"/>
      </rPr>
      <t xml:space="preserve">/WebP </t>
    </r>
    <r>
      <rPr>
        <sz val="10"/>
        <rFont val="Noto Sans CJK SC"/>
        <family val="2"/>
      </rPr>
      <t xml:space="preserve">권장</t>
    </r>
  </si>
  <si>
    <t xml:space="preserve">https://raw.githubusercontent.com/soulthread88/imgs/main/homepage/uno/uno%20facp%20with%20fiber%20optic%20lhd%20in%20power%20tunnel%203.png</t>
  </si>
  <si>
    <t xml:space="preserve">hero-wrap</t>
  </si>
  <si>
    <t xml:space="preserve">banner - kori npp 40 vs. 9.webp</t>
  </si>
  <si>
    <t xml:space="preserve">Korea Nuclear Power Plant — IAEA Imagebank</t>
  </si>
  <si>
    <t xml:space="preserve">https://raw.githubusercontent.com/soulthread88/imgs/main/homepage/uno/banner%20-%20kori%20npp%2040%20vs.%209.webp</t>
  </si>
  <si>
    <t xml:space="preserve">box-intro-img</t>
  </si>
  <si>
    <t xml:space="preserve">회사 소개 이미지</t>
  </si>
  <si>
    <r>
      <rPr>
        <sz val="10"/>
        <rFont val="Noto Sans CJK SC"/>
        <family val="2"/>
      </rPr>
      <t xml:space="preserve">퍼블릭가산</t>
    </r>
    <r>
      <rPr>
        <sz val="10"/>
        <rFont val="Arial"/>
        <family val="0"/>
        <charset val="1"/>
      </rPr>
      <t xml:space="preserve">12.webp</t>
    </r>
  </si>
  <si>
    <t xml:space="preserve">회사 개요 이미지</t>
  </si>
  <si>
    <t xml:space="preserve">https://raw.githubusercontent.com/soulthread88/imgs/main/homepage/uno/%ED%8D%BC%EB%B8%94%EB%A6%AD%EA%B0%80%EC%82%B012.webp</t>
  </si>
  <si>
    <t xml:space="preserve">box-hist-1</t>
  </si>
  <si>
    <r>
      <rPr>
        <sz val="10"/>
        <rFont val="Noto Sans CJK SC"/>
        <family val="2"/>
      </rPr>
      <t xml:space="preserve">원격검침시스템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</si>
  <si>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연혁 이미지 </t>
    </r>
    <r>
      <rPr>
        <sz val="10"/>
        <rFont val="Arial"/>
        <family val="0"/>
        <charset val="1"/>
      </rPr>
      <t xml:space="preserve">1</t>
    </r>
  </si>
  <si>
    <t xml:space="preserve">https://raw.githubusercontent.com/soulthread88/imgs/main/homepage/uno/%EC%9B%90%EA%B2%A9%EA%B2%80%EC%B9%A8%EC%8B%9C%EC%8A%A4%ED%85%9C.webp</t>
  </si>
  <si>
    <t xml:space="preserve">box-hist-2</t>
  </si>
  <si>
    <r>
      <rPr>
        <sz val="10"/>
        <rFont val="Noto Sans CJK SC"/>
        <family val="2"/>
      </rPr>
      <t xml:space="preserve">형식승인서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</si>
  <si>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연혁 이미지 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</si>
  <si>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(0.71)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</si>
  <si>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https://raw.githubusercontent.com/soulthread88/imgs/main/homepage/uno/%ED%98%95%EC%8B%9D%EC%8A%B9%EC%9D%B8%EC%84%9C.webp</t>
  </si>
  <si>
    <t xml:space="preserve">box-hist-3</t>
  </si>
  <si>
    <t xml:space="preserve">uno facp with fiber optic lhd in power tunnel.webp</t>
  </si>
  <si>
    <r>
      <rPr>
        <sz val="10"/>
        <rFont val="Noto Sans CJK SC"/>
        <family val="2"/>
      </rPr>
      <t xml:space="preserve">연혁 이미지 </t>
    </r>
    <r>
      <rPr>
        <sz val="10"/>
        <rFont val="Arial"/>
        <family val="0"/>
        <charset val="1"/>
      </rPr>
      <t xml:space="preserve">3</t>
    </r>
  </si>
  <si>
    <t xml:space="preserve">https://raw.githubusercontent.com/soulthread88/imgs/main/homepage/uno/uno%20facp%20with%20fiber%20optic%20lhd%20in%20power%20tunnel.webp</t>
  </si>
  <si>
    <t xml:space="preserve">bib-1</t>
  </si>
  <si>
    <t xml:space="preserve">bib1.webp</t>
  </si>
  <si>
    <t xml:space="preserve">전력구 맞춤형 화재수신기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</si>
  <si>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(0.79)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</si>
  <si>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https://raw.githubusercontent.com/soulthread88/imgs/main/homepage/uno/bib1.webp</t>
  </si>
  <si>
    <t xml:space="preserve">bib-2</t>
  </si>
  <si>
    <t xml:space="preserve">tajiskitan ami.webp</t>
  </si>
  <si>
    <r>
      <rPr>
        <sz val="10"/>
        <rFont val="Noto Sans CJK SC"/>
        <family val="2"/>
      </rPr>
      <t xml:space="preserve">스마트 그리드 </t>
    </r>
    <r>
      <rPr>
        <sz val="10"/>
        <rFont val="Arial"/>
        <family val="0"/>
        <charset val="1"/>
      </rPr>
      <t xml:space="preserve">/ AMI</t>
    </r>
  </si>
  <si>
    <t xml:space="preserve">https://raw.githubusercontent.com/soulthread88/imgs/main/homepage/uno/tajiskitan%20ami.webp</t>
  </si>
  <si>
    <t xml:space="preserve">bib-3</t>
  </si>
  <si>
    <t xml:space="preserve">bib3.webp</t>
  </si>
  <si>
    <t xml:space="preserve">https://raw.githubusercontent.com/soulthread88/imgs/main/homepage/uno/bib3.webp</t>
  </si>
  <si>
    <t xml:space="preserve">bib-4</t>
  </si>
  <si>
    <t xml:space="preserve">bib4.webp</t>
  </si>
  <si>
    <r>
      <rPr>
        <sz val="10"/>
        <rFont val="Noto Sans CJK SC"/>
        <family val="2"/>
      </rPr>
      <t xml:space="preserve">무선충전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산업용 네트워크</t>
    </r>
  </si>
  <si>
    <t xml:space="preserve">https://raw.githubusercontent.com/soulthread88/imgs/main/homepage/uno/bib4.webp</t>
  </si>
  <si>
    <t xml:space="preserve">bib-5</t>
  </si>
  <si>
    <r>
      <rPr>
        <sz val="10"/>
        <rFont val="Noto Sans CJK SC"/>
        <family val="2"/>
      </rPr>
      <t xml:space="preserve">통합관제시스템</t>
    </r>
    <r>
      <rPr>
        <sz val="10"/>
        <rFont val="Arial"/>
        <family val="0"/>
        <charset val="1"/>
      </rPr>
      <t xml:space="preserve">(IMS).webp</t>
    </r>
  </si>
  <si>
    <t xml:space="preserve">통합관제시스템</t>
  </si>
  <si>
    <t xml:space="preserve">https://raw.githubusercontent.com/soulthread88/imgs/main/homepage/uno/%ED%86%B5%ED%95%A9%EA%B4%80%EC%A0%9C%EC%8B%9C%EC%8A%A4%ED%85%9C%28IMS%29.webp</t>
  </si>
  <si>
    <t xml:space="preserve">bib-6</t>
  </si>
  <si>
    <t xml:space="preserve">Gas-Fire-Suppression.webp</t>
  </si>
  <si>
    <t xml:space="preserve">소화설비</t>
  </si>
  <si>
    <t xml:space="preserve">https://raw.githubusercontent.com/soulthread88/imgs/main/homepage/uno/Gas-Fire-Suppression.webp</t>
  </si>
  <si>
    <t xml:space="preserve">bib-7</t>
  </si>
  <si>
    <t xml:space="preserve">광케이블식 화재감시시스템 구성도</t>
  </si>
  <si>
    <t xml:space="preserve">bib-8</t>
  </si>
  <si>
    <r>
      <rPr>
        <sz val="10"/>
        <rFont val="Noto Sans CJK SC"/>
        <family val="2"/>
      </rPr>
      <t xml:space="preserve">소방관 </t>
    </r>
    <r>
      <rPr>
        <sz val="10"/>
        <rFont val="Arial"/>
        <family val="0"/>
        <charset val="1"/>
      </rPr>
      <t xml:space="preserve">Smart Name </t>
    </r>
    <r>
      <rPr>
        <sz val="10"/>
        <rFont val="Noto Sans CJK SC"/>
        <family val="2"/>
      </rPr>
      <t xml:space="preserve">태그 구성도</t>
    </r>
  </si>
  <si>
    <t xml:space="preserve">한국전력공사</t>
  </si>
  <si>
    <t xml:space="preserve">tajiskitan.webp</t>
  </si>
  <si>
    <t xml:space="preserve">타지키스탄 전력청</t>
  </si>
  <si>
    <t xml:space="preserve">https://raw.githubusercontent.com/soulthread88/imgs/main/homepage/uno/tajiskitan.webp</t>
  </si>
  <si>
    <r>
      <rPr>
        <sz val="10"/>
        <rFont val="Arial"/>
        <family val="0"/>
        <charset val="1"/>
      </rPr>
      <t xml:space="preserve">LH</t>
    </r>
    <r>
      <rPr>
        <sz val="10"/>
        <rFont val="Noto Sans CJK SC"/>
        <family val="2"/>
      </rPr>
      <t xml:space="preserve">한국토지주택공사</t>
    </r>
  </si>
  <si>
    <r>
      <rPr>
        <sz val="10"/>
        <rFont val="Noto Sans CJK SC"/>
        <family val="2"/>
      </rPr>
      <t xml:space="preserve">빛을 잇는 광케이블 기술자</t>
    </r>
    <r>
      <rPr>
        <sz val="10"/>
        <rFont val="Arial"/>
        <family val="0"/>
        <charset val="1"/>
      </rPr>
      <t xml:space="preserve">.png</t>
    </r>
  </si>
  <si>
    <t xml:space="preserve">https://raw.githubusercontent.com/soulthread88/imgs/main/homepage/uno/%EB%B9%9B%EC%9D%84%20%EC%9E%87%EB%8A%94%20%EA%B4%91%EC%BC%80%EC%9D%B4%EB%B8%94%20%EA%B8%B0%EC%88%A0%EC%9E%90.png</t>
  </si>
  <si>
    <t xml:space="preserve">banner image 2.webp</t>
  </si>
  <si>
    <t xml:space="preserve">Hero Image</t>
  </si>
  <si>
    <t xml:space="preserve">https://raw.githubusercontent.com/soulthread88/imgs/main/homepage/uno/banner%20image%202.webp</t>
  </si>
  <si>
    <t xml:space="preserve">pbox-01</t>
  </si>
  <si>
    <t xml:space="preserve">uno facp 1.webp</t>
  </si>
  <si>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형 </t>
    </r>
    <r>
      <rPr>
        <sz val="10"/>
        <rFont val="Arial"/>
        <family val="0"/>
        <charset val="1"/>
      </rPr>
      <t xml:space="preserve">DTS </t>
    </r>
    <r>
      <rPr>
        <sz val="10"/>
        <rFont val="Noto Sans CJK SC"/>
        <family val="2"/>
      </rPr>
      <t xml:space="preserve">통합형 수신기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</si>
  <si>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(0.72)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</si>
  <si>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https://raw.githubusercontent.com/soulthread88/imgs/main/homepage/uno/uno%20facp%201.webp</t>
  </si>
  <si>
    <t xml:space="preserve">pbox-02</t>
  </si>
  <si>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형 복합식 수신기</t>
    </r>
  </si>
  <si>
    <t xml:space="preserve">pbox-03</t>
  </si>
  <si>
    <t xml:space="preserve">sus316 fiber optic cable.webp</t>
  </si>
  <si>
    <r>
      <rPr>
        <sz val="10"/>
        <rFont val="Noto Sans CJK SC"/>
        <family val="2"/>
      </rPr>
      <t xml:space="preserve">광케이블식 감지기 감</t>
    </r>
    <r>
      <rPr>
        <sz val="10"/>
        <rFont val="Arial"/>
        <family val="0"/>
        <charset val="1"/>
      </rPr>
      <t xml:space="preserve">24-74</t>
    </r>
  </si>
  <si>
    <t xml:space="preserve">https://raw.githubusercontent.com/soulthread88/imgs/main/homepage/uno/sus316%20fiber%20optic%20cable.webp</t>
  </si>
  <si>
    <t xml:space="preserve">pbox-04</t>
  </si>
  <si>
    <r>
      <rPr>
        <sz val="10"/>
        <rFont val="Noto Sans CJK SC"/>
        <family val="2"/>
      </rPr>
      <t xml:space="preserve">전국 소방서 통합 감시</t>
    </r>
    <r>
      <rPr>
        <sz val="10"/>
        <rFont val="Arial"/>
        <family val="0"/>
        <charset val="1"/>
      </rPr>
      <t xml:space="preserve">.webp</t>
    </r>
  </si>
  <si>
    <t xml:space="preserve">소방통합감시설비</t>
  </si>
  <si>
    <t xml:space="preserve">https://raw.githubusercontent.com/soulthread88/imgs/main/homepage/uno/%EC%A0%84%EA%B5%AD%20%EC%86%8C%EB%B0%A9%EC%84%9C%20%ED%86%B5%ED%95%A9%20%EA%B0%90%EC%8B%9C.webp</t>
  </si>
  <si>
    <t xml:space="preserve">pbox-05</t>
  </si>
  <si>
    <r>
      <rPr>
        <sz val="10"/>
        <rFont val="Noto Sans CJK SC"/>
        <family val="2"/>
      </rPr>
      <t xml:space="preserve">통합감시시설</t>
    </r>
    <r>
      <rPr>
        <sz val="10"/>
        <rFont val="Arial"/>
        <family val="0"/>
        <charset val="1"/>
      </rPr>
      <t xml:space="preserve">(IMS) - SCADA EXPANDER (Wired n Wireless) - SCADA System (KEPCO).webp</t>
    </r>
  </si>
  <si>
    <r>
      <rPr>
        <sz val="10"/>
        <rFont val="Arial"/>
        <family val="0"/>
        <charset val="1"/>
      </rPr>
      <t xml:space="preserve">SCADA </t>
    </r>
    <r>
      <rPr>
        <sz val="10"/>
        <rFont val="Noto Sans CJK SC"/>
        <family val="2"/>
      </rPr>
      <t xml:space="preserve">확장장치</t>
    </r>
  </si>
  <si>
    <t xml:space="preserve">https://raw.githubusercontent.com/soulthread88/imgs/main/homepage/uno/%ED%86%B5%ED%95%A9%EA%B0%90%EC%8B%9C%EC%8B%9C%EC%84%A4%28IMS%29%20-%20SCADA%20EXPANDER%20%28Wired%20n%20Wireless%29%20-%20SCADA%20System%20%28KEPCO%29.webp</t>
  </si>
  <si>
    <t xml:space="preserve">pbox-06</t>
  </si>
  <si>
    <t xml:space="preserve">스마트 건설 블랙박스</t>
  </si>
  <si>
    <t xml:space="preserve">pbox-07</t>
  </si>
  <si>
    <r>
      <rPr>
        <sz val="10"/>
        <rFont val="Arial"/>
        <family val="0"/>
        <charset val="1"/>
      </rPr>
      <t xml:space="preserve">AMR </t>
    </r>
    <r>
      <rPr>
        <sz val="10"/>
        <rFont val="Noto Sans CJK SC"/>
        <family val="2"/>
      </rPr>
      <t xml:space="preserve">원격검침 시스템</t>
    </r>
  </si>
  <si>
    <t xml:space="preserve">pbox-08</t>
  </si>
  <si>
    <t xml:space="preserve">wireless power transmission n receiving module.webp</t>
  </si>
  <si>
    <t xml:space="preserve">무접점충전 모듈</t>
  </si>
  <si>
    <t xml:space="preserve">https://raw.githubusercontent.com/soulthread88/imgs/main/homepage/uno/wireless%20power%20transmission%20n%20receiving%20module.webp</t>
  </si>
  <si>
    <t xml:space="preserve">pbox-09</t>
  </si>
  <si>
    <t xml:space="preserve">remote inspection system.webp</t>
  </si>
  <si>
    <t xml:space="preserve">외장형 스마트태그</t>
  </si>
  <si>
    <t xml:space="preserve">https://raw.githubusercontent.com/soulthread88/imgs/main/homepage/uno/remote%20inspection%20system.webp</t>
  </si>
  <si>
    <t xml:space="preserve">pbox-10</t>
  </si>
  <si>
    <r>
      <rPr>
        <sz val="10"/>
        <rFont val="Noto Sans CJK SC"/>
        <family val="2"/>
      </rPr>
      <t xml:space="preserve">스마트 가전 내장형 통신 보드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</si>
  <si>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스마트가전 통신보드 </t>
    </r>
    <r>
      <rPr>
        <sz val="10"/>
        <rFont val="Arial"/>
        <family val="0"/>
        <charset val="1"/>
      </rPr>
      <t xml:space="preserve">Zigbee/PLC</t>
    </r>
  </si>
  <si>
    <t xml:space="preserve">https://raw.githubusercontent.com/soulthread88/imgs/main/homepage/uno/%EC%8A%A4%EB%A7%88%ED%8A%B8%20%EA%B0%80%EC%A0%84%20%EB%82%B4%EC%9E%A5%ED%98%95%20%ED%86%B5%EC%8B%A0%20%EB%B3%B4%EB%93%9C.webp</t>
  </si>
  <si>
    <t xml:space="preserve">pbox-11</t>
  </si>
  <si>
    <r>
      <rPr>
        <sz val="10"/>
        <rFont val="Noto Sans CJK SC"/>
        <family val="2"/>
      </rPr>
      <t xml:space="preserve">스마트가전 통신보드 </t>
    </r>
    <r>
      <rPr>
        <sz val="10"/>
        <rFont val="Arial"/>
        <family val="0"/>
        <charset val="1"/>
      </rPr>
      <t xml:space="preserve">Zigbee/WiFi</t>
    </r>
  </si>
  <si>
    <t xml:space="preserve">pbox-12</t>
  </si>
  <si>
    <t xml:space="preserve">energy-management-system.webp</t>
  </si>
  <si>
    <r>
      <rPr>
        <sz val="10"/>
        <rFont val="Arial"/>
        <family val="0"/>
        <charset val="1"/>
      </rPr>
      <t xml:space="preserve">Smart Place </t>
    </r>
    <r>
      <rPr>
        <sz val="10"/>
        <rFont val="Noto Sans CJK SC"/>
        <family val="2"/>
      </rPr>
      <t xml:space="preserve">데이터 수집서버</t>
    </r>
  </si>
  <si>
    <t xml:space="preserve">https://raw.githubusercontent.com/soulthread88/imgs/main/homepage/uno/energy-management-system.webp</t>
  </si>
  <si>
    <t xml:space="preserve">pbox-13</t>
  </si>
  <si>
    <r>
      <rPr>
        <sz val="10"/>
        <rFont val="Noto Sans CJK SC"/>
        <family val="2"/>
      </rPr>
      <t xml:space="preserve">횡파 스피커</t>
    </r>
    <r>
      <rPr>
        <sz val="10"/>
        <rFont val="Arial"/>
        <family val="0"/>
        <charset val="1"/>
      </rPr>
      <t xml:space="preserve">.webp</t>
    </r>
  </si>
  <si>
    <t xml:space="preserve">횡파스피커</t>
  </si>
  <si>
    <t xml:space="preserve">https://raw.githubusercontent.com/soulthread88/imgs/main/homepage/uno/%ED%9A%A1%ED%8C%8C%20%EC%8A%A4%ED%94%BC%EC%BB%A4.webp</t>
  </si>
  <si>
    <t xml:space="preserve">pbox-14</t>
  </si>
  <si>
    <r>
      <rPr>
        <sz val="10"/>
        <rFont val="Noto Sans CJK SC"/>
        <family val="2"/>
      </rPr>
      <t xml:space="preserve">세탁기용 무선 전력 송수신 모듈</t>
    </r>
    <r>
      <rPr>
        <sz val="10"/>
        <rFont val="Arial"/>
        <family val="0"/>
        <charset val="1"/>
      </rPr>
      <t xml:space="preserve">.webp</t>
    </r>
  </si>
  <si>
    <t xml:space="preserve">세탁기용 무선전력 송수신모듈</t>
  </si>
  <si>
    <t xml:space="preserve">https://raw.githubusercontent.com/soulthread88/imgs/main/homepage/uno/%EC%84%B8%ED%83%81%EA%B8%B0%EC%9A%A9%20%EB%AC%B4%EC%84%A0%20%EC%A0%84%EB%A0%A5%20%EC%86%A1%EC%88%98%EC%8B%A0%20%EB%AA%A8%EB%93%88.webp</t>
  </si>
  <si>
    <t xml:space="preserve">pbox-15</t>
  </si>
  <si>
    <t xml:space="preserve">bandweaver.webp</t>
  </si>
  <si>
    <t xml:space="preserve">Bandweaver DTS/DAS</t>
  </si>
  <si>
    <t xml:space="preserve">https://raw.githubusercontent.com/soulthread88/imgs/main/homepage/uno/bandweaver.webp</t>
  </si>
  <si>
    <t xml:space="preserve">pbox-16</t>
  </si>
  <si>
    <t xml:space="preserve">pbox-17</t>
  </si>
  <si>
    <t xml:space="preserve">uno p-type underground facp with ads.webp</t>
  </si>
  <si>
    <r>
      <rPr>
        <sz val="10"/>
        <rFont val="Noto Sans CJK SC"/>
        <family val="2"/>
      </rPr>
      <t xml:space="preserve">지하구용 </t>
    </r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형 화재수신기와 광케이블식 검출부</t>
    </r>
  </si>
  <si>
    <t xml:space="preserve">https://raw.githubusercontent.com/soulthread88/imgs/main/homepage/uno/uno%20p-type%20underground%20facp%20with%20ads.webp</t>
  </si>
  <si>
    <t xml:space="preserve">pbox-18</t>
  </si>
  <si>
    <t xml:space="preserve">지하구 통합감시시설 구성도</t>
  </si>
  <si>
    <t xml:space="preserve">pbox-19</t>
  </si>
  <si>
    <t xml:space="preserve">uno firefighter smart name tag photo.webp</t>
  </si>
  <si>
    <r>
      <rPr>
        <sz val="10"/>
        <rFont val="Noto Sans CJK SC"/>
        <family val="2"/>
      </rPr>
      <t xml:space="preserve">산소통에 장착된 소방관 </t>
    </r>
    <r>
      <rPr>
        <sz val="10"/>
        <rFont val="Arial"/>
        <family val="0"/>
        <charset val="1"/>
      </rPr>
      <t xml:space="preserve">Smart Name </t>
    </r>
    <r>
      <rPr>
        <sz val="10"/>
        <rFont val="Noto Sans CJK SC"/>
        <family val="2"/>
      </rPr>
      <t xml:space="preserve">태그</t>
    </r>
  </si>
  <si>
    <t xml:space="preserve">https://raw.githubusercontent.com/soulthread88/imgs/main/homepage/uno/uno%20firefighter%20smart%20name%20tag%20photo.webp</t>
  </si>
  <si>
    <t xml:space="preserve">pbox-20</t>
  </si>
  <si>
    <t xml:space="preserve">uno wireless mesh fire info collector device.webp</t>
  </si>
  <si>
    <t xml:space="preserve">무선 메쉬 기반 화재 정보수집장치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</si>
  <si>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(0.7)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</si>
  <si>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https://raw.githubusercontent.com/soulthread88/imgs/main/homepage/uno/uno%20wireless%20mesh%20fire%20info%20collector%20device.webp</t>
  </si>
  <si>
    <t xml:space="preserve">pbox-21</t>
  </si>
  <si>
    <t xml:space="preserve">cta-img-col</t>
  </si>
  <si>
    <t xml:space="preserve">uno facp 1.png</t>
  </si>
  <si>
    <t xml:space="preserve">https://raw.githubusercontent.com/soulthread88/imgs/main/homepage/uno/uno%20facp%201.png</t>
  </si>
  <si>
    <t xml:space="preserve">css-bg</t>
  </si>
  <si>
    <t xml:space="preserve">css</t>
  </si>
  <si>
    <t xml:space="preserve">banner image 2.png</t>
  </si>
  <si>
    <t xml:space="preserve">(CSS)</t>
  </si>
  <si>
    <t xml:space="preserve">https://raw.githubusercontent.com/soulthread88/imgs/main/homepage/uno/banner%20image%202.png</t>
  </si>
  <si>
    <r>
      <rPr>
        <sz val="10"/>
        <rFont val="Arial"/>
        <family val="0"/>
        <charset val="1"/>
      </rPr>
      <t xml:space="preserve">DTS </t>
    </r>
    <r>
      <rPr>
        <sz val="10"/>
        <rFont val="Noto Sans CJK SC"/>
        <family val="2"/>
      </rPr>
      <t xml:space="preserve">내장형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형 수신기 외관</t>
    </r>
  </si>
  <si>
    <r>
      <rPr>
        <sz val="10"/>
        <rFont val="Arial"/>
        <family val="0"/>
        <charset val="1"/>
      </rPr>
      <t xml:space="preserve">DTS R</t>
    </r>
    <r>
      <rPr>
        <sz val="10"/>
        <rFont val="Noto Sans CJK SC"/>
        <family val="2"/>
      </rPr>
      <t xml:space="preserve">형 수신기 외관</t>
    </r>
  </si>
  <si>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형 </t>
    </r>
    <r>
      <rPr>
        <sz val="10"/>
        <rFont val="Arial"/>
        <family val="0"/>
        <charset val="1"/>
      </rPr>
      <t xml:space="preserve">DTS + Surge Protector + </t>
    </r>
    <r>
      <rPr>
        <sz val="10"/>
        <rFont val="Noto Sans CJK SC"/>
        <family val="2"/>
      </rPr>
      <t xml:space="preserve">소화기 통합수신기</t>
    </r>
    <r>
      <rPr>
        <sz val="10"/>
        <rFont val="Arial"/>
        <family val="0"/>
        <charset val="1"/>
      </rPr>
      <t xml:space="preserve">.webp</t>
    </r>
  </si>
  <si>
    <r>
      <rPr>
        <sz val="10"/>
        <rFont val="Arial"/>
        <family val="0"/>
        <charset val="1"/>
      </rPr>
      <t xml:space="preserve">DTS R</t>
    </r>
    <r>
      <rPr>
        <sz val="10"/>
        <rFont val="Noto Sans CJK SC"/>
        <family val="2"/>
      </rPr>
      <t xml:space="preserve">형 수신기 내부 구조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</si>
  <si>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(0.85)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</si>
  <si>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https://raw.githubusercontent.com/soulthread88/imgs/main/homepage/uno/R%ED%98%95%20DTS%20%2B%20Surge%20Protector%20%2B%20%EC%86%8C%ED%99%94%EA%B8%B0%20%ED%86%B5%ED%95%A9%EC%88%98%EC%8B%A0%EA%B8%B0.webp</t>
  </si>
  <si>
    <t xml:space="preserve">ubr-wrap</t>
  </si>
  <si>
    <r>
      <rPr>
        <sz val="10"/>
        <rFont val="Noto Sans CJK SC"/>
        <family val="2"/>
      </rPr>
      <t xml:space="preserve">광케이블식 화재감시시스템 구성 — 검출부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로컬수신기 → 통합수신기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무선통신장치 → 감시제어실 통합관제시스템</t>
    </r>
    <r>
      <rPr>
        <sz val="10"/>
        <rFont val="Arial"/>
        <family val="0"/>
        <charset val="1"/>
      </rPr>
      <t xml:space="preserve">(IMS)·</t>
    </r>
    <r>
      <rPr>
        <sz val="10"/>
        <rFont val="Noto Sans CJK SC"/>
        <family val="2"/>
      </rPr>
      <t xml:space="preserve">소방본부 </t>
    </r>
    <r>
      <rPr>
        <sz val="10"/>
        <rFont val="Arial"/>
        <family val="0"/>
        <charset val="1"/>
      </rPr>
      <t xml:space="preserve">119</t>
    </r>
    <r>
      <rPr>
        <sz val="10"/>
        <rFont val="Noto Sans CJK SC"/>
        <family val="2"/>
      </rPr>
      <t xml:space="preserve">종합상황실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변전소 스카다시스템 연동</t>
    </r>
  </si>
  <si>
    <r>
      <rPr>
        <sz val="10"/>
        <rFont val="Noto Sans CJK SC"/>
        <family val="2"/>
      </rPr>
      <t xml:space="preserve">지하구용 화재수신기와 </t>
    </r>
    <r>
      <rPr>
        <sz val="10"/>
        <rFont val="Arial"/>
        <family val="0"/>
        <charset val="1"/>
      </rPr>
      <t xml:space="preserve">ADS(</t>
    </r>
    <r>
      <rPr>
        <sz val="10"/>
        <rFont val="Noto Sans CJK SC"/>
        <family val="2"/>
      </rPr>
      <t xml:space="preserve">광케이블식 검출부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광통신 연결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수신기당 최대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광케이블식 감지선</t>
    </r>
    <r>
      <rPr>
        <sz val="10"/>
        <rFont val="Arial"/>
        <family val="0"/>
        <charset val="1"/>
      </rPr>
      <t xml:space="preserve">(FOS) 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1.5km, </t>
    </r>
    <r>
      <rPr>
        <sz val="10"/>
        <rFont val="Noto Sans CJK SC"/>
        <family val="2"/>
      </rPr>
      <t xml:space="preserve">발신기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지구경종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방화문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환풍기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소화장치 연동</t>
    </r>
  </si>
  <si>
    <t xml:space="preserve">banner - fiber optic lhd system_kr.webp</t>
  </si>
  <si>
    <r>
      <rPr>
        <sz val="10"/>
        <rFont val="Arial"/>
        <family val="0"/>
        <charset val="1"/>
      </rPr>
      <t xml:space="preserve">DTS </t>
    </r>
    <r>
      <rPr>
        <sz val="10"/>
        <rFont val="Noto Sans CJK SC"/>
        <family val="2"/>
      </rPr>
      <t xml:space="preserve">통합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형 수신기 메인 이미지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</si>
  <si>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(3.02)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</si>
  <si>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https://raw.githubusercontent.com/soulthread88/imgs/main/homepage/uno/banner%20-%20fiber%20optic%20lhd%20system_kr.webp</t>
  </si>
  <si>
    <t xml:space="preserve">box-hero-product</t>
  </si>
  <si>
    <r>
      <rPr>
        <sz val="10"/>
        <rFont val="Arial"/>
        <family val="0"/>
        <charset val="1"/>
      </rPr>
      <t xml:space="preserve">DTS </t>
    </r>
    <r>
      <rPr>
        <sz val="10"/>
        <rFont val="Noto Sans CJK SC"/>
        <family val="2"/>
      </rPr>
      <t xml:space="preserve">통합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형 수신기 </t>
    </r>
    <r>
      <rPr>
        <sz val="10"/>
        <rFont val="Arial"/>
        <family val="0"/>
        <charset val="1"/>
      </rPr>
      <t xml:space="preserve">(MDT-1000F / UFC-OR12)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</si>
  <si>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(0.72)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같은 페이지에서 중복 사용</t>
    </r>
  </si>
  <si>
    <t xml:space="preserve">box-feat-1</t>
  </si>
  <si>
    <t xml:space="preserve">access dts principle - uno.webp</t>
  </si>
  <si>
    <r>
      <rPr>
        <sz val="10"/>
        <rFont val="Noto Sans CJK SC"/>
        <family val="2"/>
      </rPr>
      <t xml:space="preserve">특징 이미지 </t>
    </r>
    <r>
      <rPr>
        <sz val="10"/>
        <rFont val="Arial"/>
        <family val="0"/>
        <charset val="1"/>
      </rPr>
      <t xml:space="preserve">1</t>
    </r>
  </si>
  <si>
    <t xml:space="preserve">https://raw.githubusercontent.com/soulthread88/imgs/main/homepage/uno/access%20dts%20principle%20-%20uno.webp</t>
  </si>
  <si>
    <t xml:space="preserve">box-feat-2</t>
  </si>
  <si>
    <r>
      <rPr>
        <sz val="10"/>
        <rFont val="Noto Sans CJK SC"/>
        <family val="2"/>
      </rPr>
      <t xml:space="preserve">특징 이미지 </t>
    </r>
    <r>
      <rPr>
        <sz val="10"/>
        <rFont val="Arial"/>
        <family val="0"/>
        <charset val="1"/>
      </rPr>
      <t xml:space="preserve">2</t>
    </r>
  </si>
  <si>
    <t xml:space="preserve">box-feat-3</t>
  </si>
  <si>
    <r>
      <rPr>
        <sz val="10"/>
        <rFont val="Noto Sans CJK SC"/>
        <family val="2"/>
      </rPr>
      <t xml:space="preserve">특징 이미지 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</si>
  <si>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(0.85)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같은 페이지에서 중복 사용</t>
    </r>
  </si>
  <si>
    <t xml:space="preserve">box-feat-4</t>
  </si>
  <si>
    <r>
      <rPr>
        <sz val="10"/>
        <rFont val="Noto Sans CJK SC"/>
        <family val="2"/>
      </rPr>
      <t xml:space="preserve">특징 이미지 </t>
    </r>
    <r>
      <rPr>
        <sz val="10"/>
        <rFont val="Arial"/>
        <family val="0"/>
        <charset val="1"/>
      </rPr>
      <t xml:space="preserve">4</t>
    </r>
  </si>
  <si>
    <t xml:space="preserve">box-feat-5</t>
  </si>
  <si>
    <t xml:space="preserve">uno facp screen 1.webp</t>
  </si>
  <si>
    <r>
      <rPr>
        <sz val="10"/>
        <rFont val="Noto Sans CJK SC"/>
        <family val="2"/>
      </rPr>
      <t xml:space="preserve">특징 이미지 </t>
    </r>
    <r>
      <rPr>
        <sz val="10"/>
        <rFont val="Arial"/>
        <family val="0"/>
        <charset val="1"/>
      </rPr>
      <t xml:space="preserve">5</t>
    </r>
  </si>
  <si>
    <t xml:space="preserve">같은 페이지에서 중복 사용</t>
  </si>
  <si>
    <t xml:space="preserve">https://raw.githubusercontent.com/soulthread88/imgs/main/homepage/uno/uno%20facp%20screen%201.webp</t>
  </si>
  <si>
    <t xml:space="preserve">box-feat-6</t>
  </si>
  <si>
    <t xml:space="preserve">pomelli_catalog-1.webp</t>
  </si>
  <si>
    <r>
      <rPr>
        <sz val="10"/>
        <rFont val="Noto Sans CJK SC"/>
        <family val="2"/>
      </rPr>
      <t xml:space="preserve">특징 이미지 </t>
    </r>
    <r>
      <rPr>
        <sz val="10"/>
        <rFont val="Arial"/>
        <family val="0"/>
        <charset val="1"/>
      </rPr>
      <t xml:space="preserve">6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</si>
  <si>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(0.72)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</si>
  <si>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https://raw.githubusercontent.com/soulthread88/imgs/main/homepage/uno/pomelli_catalog-1.webp</t>
  </si>
  <si>
    <t xml:space="preserve">box-app-1</t>
  </si>
  <si>
    <r>
      <rPr>
        <sz val="10"/>
        <rFont val="Noto Sans CJK SC"/>
        <family val="2"/>
      </rPr>
      <t xml:space="preserve">한전 전력구 이미지 </t>
    </r>
    <r>
      <rPr>
        <sz val="10"/>
        <rFont val="Arial"/>
        <family val="0"/>
        <charset val="1"/>
      </rPr>
      <t xml:space="preserve">1.webp</t>
    </r>
  </si>
  <si>
    <r>
      <rPr>
        <sz val="10"/>
        <rFont val="Noto Sans CJK SC"/>
        <family val="2"/>
      </rPr>
      <t xml:space="preserve">적용 분야 이미지 </t>
    </r>
    <r>
      <rPr>
        <sz val="10"/>
        <rFont val="Arial"/>
        <family val="0"/>
        <charset val="1"/>
      </rPr>
      <t xml:space="preserve">1</t>
    </r>
  </si>
  <si>
    <t xml:space="preserve">https://raw.githubusercontent.com/soulthread88/imgs/main/homepage/uno/%ED%95%9C%EC%A0%84%20%EC%A0%84%EB%A0%A5%EA%B5%AC%20%EC%9D%B4%EB%AF%B8%EC%A7%80%201.webp</t>
  </si>
  <si>
    <t xml:space="preserve">box-app-2</t>
  </si>
  <si>
    <t xml:space="preserve">cable tunnels n trays.webp</t>
  </si>
  <si>
    <r>
      <rPr>
        <sz val="10"/>
        <rFont val="Noto Sans CJK SC"/>
        <family val="2"/>
      </rPr>
      <t xml:space="preserve">적용 분야 이미지 </t>
    </r>
    <r>
      <rPr>
        <sz val="10"/>
        <rFont val="Arial"/>
        <family val="0"/>
        <charset val="1"/>
      </rPr>
      <t xml:space="preserve">2</t>
    </r>
  </si>
  <si>
    <t xml:space="preserve">https://raw.githubusercontent.com/soulthread88/imgs/main/homepage/uno/cable%20tunnels%20n%20trays.webp</t>
  </si>
  <si>
    <t xml:space="preserve">box-app-3</t>
  </si>
  <si>
    <t xml:space="preserve">install at ceiling of road tunnel 6.webp</t>
  </si>
  <si>
    <r>
      <rPr>
        <sz val="10"/>
        <rFont val="Noto Sans CJK SC"/>
        <family val="2"/>
      </rPr>
      <t xml:space="preserve">적용 분야 이미지 </t>
    </r>
    <r>
      <rPr>
        <sz val="10"/>
        <rFont val="Arial"/>
        <family val="0"/>
        <charset val="1"/>
      </rPr>
      <t xml:space="preserve">3</t>
    </r>
  </si>
  <si>
    <t xml:space="preserve">https://raw.githubusercontent.com/soulthread88/imgs/main/homepage/uno/install%20at%20ceiling%20of%20road%20tunnel%206.webp</t>
  </si>
  <si>
    <t xml:space="preserve">box-app-4</t>
  </si>
  <si>
    <r>
      <rPr>
        <sz val="10"/>
        <rFont val="Noto Sans CJK SC"/>
        <family val="2"/>
      </rPr>
      <t xml:space="preserve">지중송전 </t>
    </r>
    <r>
      <rPr>
        <sz val="10"/>
        <rFont val="Arial"/>
        <family val="0"/>
        <charset val="1"/>
      </rPr>
      <t xml:space="preserve">by kepco.webp</t>
    </r>
  </si>
  <si>
    <r>
      <rPr>
        <sz val="10"/>
        <rFont val="Noto Sans CJK SC"/>
        <family val="2"/>
      </rPr>
      <t xml:space="preserve">적용 분야 이미지 </t>
    </r>
    <r>
      <rPr>
        <sz val="10"/>
        <rFont val="Arial"/>
        <family val="0"/>
        <charset val="1"/>
      </rPr>
      <t xml:space="preserve">4</t>
    </r>
  </si>
  <si>
    <t xml:space="preserve">https://raw.githubusercontent.com/soulthread88/imgs/main/homepage/uno/%EC%A7%80%EC%A4%91%EC%86%A1%EC%A0%84%20by%20kepco.webp</t>
  </si>
  <si>
    <t xml:space="preserve">box-app-5</t>
  </si>
  <si>
    <t xml:space="preserve">petroleum plant.webp</t>
  </si>
  <si>
    <r>
      <rPr>
        <sz val="10"/>
        <rFont val="Noto Sans CJK SC"/>
        <family val="2"/>
      </rPr>
      <t xml:space="preserve">적용 분야 이미지 </t>
    </r>
    <r>
      <rPr>
        <sz val="10"/>
        <rFont val="Arial"/>
        <family val="0"/>
        <charset val="1"/>
      </rPr>
      <t xml:space="preserve">5</t>
    </r>
  </si>
  <si>
    <t xml:space="preserve">https://raw.githubusercontent.com/soulthread88/imgs/main/homepage/uno/petroleum%20plant.webp</t>
  </si>
  <si>
    <t xml:space="preserve">box-app-6</t>
  </si>
  <si>
    <t xml:space="preserve">process monitoring.webp</t>
  </si>
  <si>
    <r>
      <rPr>
        <sz val="10"/>
        <rFont val="Noto Sans CJK SC"/>
        <family val="2"/>
      </rPr>
      <t xml:space="preserve">적용 분야 이미지 </t>
    </r>
    <r>
      <rPr>
        <sz val="10"/>
        <rFont val="Arial"/>
        <family val="0"/>
        <charset val="1"/>
      </rPr>
      <t xml:space="preserve">6</t>
    </r>
  </si>
  <si>
    <t xml:space="preserve">https://raw.githubusercontent.com/soulthread88/imgs/main/homepage/uno/process%20monitoring.webp</t>
  </si>
  <si>
    <t xml:space="preserve">box-app-7</t>
  </si>
  <si>
    <t xml:space="preserve">pipeline monitoring.webp</t>
  </si>
  <si>
    <r>
      <rPr>
        <sz val="10"/>
        <rFont val="Noto Sans CJK SC"/>
        <family val="2"/>
      </rPr>
      <t xml:space="preserve">적용 분야 이미지 </t>
    </r>
    <r>
      <rPr>
        <sz val="10"/>
        <rFont val="Arial"/>
        <family val="0"/>
        <charset val="1"/>
      </rPr>
      <t xml:space="preserve">7</t>
    </r>
  </si>
  <si>
    <t xml:space="preserve">https://raw.githubusercontent.com/soulthread88/imgs/main/homepage/uno/pipeline%20monitoring.webp</t>
  </si>
  <si>
    <t xml:space="preserve">box-app-8</t>
  </si>
  <si>
    <t xml:space="preserve">install at logistics warehouse 1.webp</t>
  </si>
  <si>
    <r>
      <rPr>
        <sz val="10"/>
        <rFont val="Noto Sans CJK SC"/>
        <family val="2"/>
      </rPr>
      <t xml:space="preserve">적용 분야 이미지 </t>
    </r>
    <r>
      <rPr>
        <sz val="10"/>
        <rFont val="Arial"/>
        <family val="0"/>
        <charset val="1"/>
      </rPr>
      <t xml:space="preserve">8</t>
    </r>
  </si>
  <si>
    <t xml:space="preserve">https://raw.githubusercontent.com/soulthread88/imgs/main/homepage/uno/install%20at%20logistics%20warehouse%201.webp</t>
  </si>
  <si>
    <t xml:space="preserve">box-gallery-1</t>
  </si>
  <si>
    <t xml:space="preserve">외관 전경</t>
  </si>
  <si>
    <t xml:space="preserve">box-gallery-2</t>
  </si>
  <si>
    <r>
      <rPr>
        <sz val="10"/>
        <rFont val="Noto Sans CJK SC"/>
        <family val="2"/>
      </rPr>
      <t xml:space="preserve">내부 구조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도어 오픈</t>
    </r>
    <r>
      <rPr>
        <sz val="10"/>
        <rFont val="Arial"/>
        <family val="0"/>
        <charset val="1"/>
      </rPr>
      <t xml:space="preserve">)</t>
    </r>
  </si>
  <si>
    <t xml:space="preserve">box-gallery-3</t>
  </si>
  <si>
    <r>
      <rPr>
        <sz val="10"/>
        <rFont val="Arial"/>
        <family val="0"/>
        <charset val="1"/>
      </rPr>
      <t xml:space="preserve">LCD </t>
    </r>
    <r>
      <rPr>
        <sz val="10"/>
        <rFont val="Noto Sans CJK SC"/>
        <family val="2"/>
      </rPr>
      <t xml:space="preserve">표시부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스위치 패널</t>
    </r>
  </si>
  <si>
    <t xml:space="preserve">box-gallery-4</t>
  </si>
  <si>
    <r>
      <rPr>
        <sz val="10"/>
        <rFont val="Noto Sans CJK SC"/>
        <family val="2"/>
      </rPr>
      <t xml:space="preserve">광케이블 감지기 검출부</t>
    </r>
    <r>
      <rPr>
        <sz val="10"/>
        <rFont val="Arial"/>
        <family val="0"/>
        <charset val="1"/>
      </rPr>
      <t xml:space="preserve">.webp</t>
    </r>
  </si>
  <si>
    <r>
      <rPr>
        <sz val="10"/>
        <rFont val="Arial"/>
        <family val="0"/>
        <charset val="1"/>
      </rPr>
      <t xml:space="preserve">DTS </t>
    </r>
    <r>
      <rPr>
        <sz val="10"/>
        <rFont val="Noto Sans CJK SC"/>
        <family val="2"/>
      </rPr>
      <t xml:space="preserve">제어모듈 </t>
    </r>
    <r>
      <rPr>
        <sz val="10"/>
        <rFont val="Arial"/>
        <family val="0"/>
        <charset val="1"/>
      </rPr>
      <t xml:space="preserve">(MEGA)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</si>
  <si>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(0.88)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</si>
  <si>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https://raw.githubusercontent.com/soulthread88/imgs/main/homepage/uno/%EA%B4%91%EC%BC%80%EC%9D%B4%EB%B8%94%20%EA%B0%90%EC%A7%80%EA%B8%B0%20%EA%B2%80%EC%B6%9C%EB%B6%80.webp</t>
  </si>
  <si>
    <r>
      <rPr>
        <sz val="10"/>
        <rFont val="Arial"/>
        <family val="0"/>
        <charset val="1"/>
      </rPr>
      <t xml:space="preserve">KEPCO </t>
    </r>
    <r>
      <rPr>
        <sz val="10"/>
        <rFont val="Noto Sans CJK SC"/>
        <family val="2"/>
      </rPr>
      <t xml:space="preserve">한국전력 로고</t>
    </r>
  </si>
  <si>
    <r>
      <rPr>
        <sz val="10"/>
        <rFont val="Noto Sans CJK SC"/>
        <family val="2"/>
      </rPr>
      <t xml:space="preserve">한국토지주택공사 </t>
    </r>
    <r>
      <rPr>
        <sz val="10"/>
        <rFont val="Arial"/>
        <family val="0"/>
        <charset val="1"/>
      </rPr>
      <t xml:space="preserve">(LH) </t>
    </r>
    <r>
      <rPr>
        <sz val="10"/>
        <rFont val="Noto Sans CJK SC"/>
        <family val="2"/>
      </rPr>
      <t xml:space="preserve">로고</t>
    </r>
  </si>
  <si>
    <r>
      <rPr>
        <sz val="10"/>
        <rFont val="Noto Sans CJK SC"/>
        <family val="2"/>
      </rPr>
      <t xml:space="preserve">서울교통공사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서울메트로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로고</t>
    </r>
  </si>
  <si>
    <r>
      <rPr>
        <sz val="10"/>
        <rFont val="Arial"/>
        <family val="0"/>
        <charset val="1"/>
      </rPr>
      <t xml:space="preserve">LG</t>
    </r>
    <r>
      <rPr>
        <sz val="10"/>
        <rFont val="Noto Sans CJK SC"/>
        <family val="2"/>
      </rPr>
      <t xml:space="preserve">전자 로고</t>
    </r>
  </si>
  <si>
    <r>
      <rPr>
        <sz val="10"/>
        <rFont val="Noto Sans CJK SC"/>
        <family val="2"/>
      </rPr>
      <t xml:space="preserve">타지키스탄 정부 </t>
    </r>
    <r>
      <rPr>
        <sz val="10"/>
        <rFont val="Arial"/>
        <family val="0"/>
        <charset val="1"/>
      </rPr>
      <t xml:space="preserve">(AMI) </t>
    </r>
    <r>
      <rPr>
        <sz val="10"/>
        <rFont val="Noto Sans CJK SC"/>
        <family val="2"/>
      </rPr>
      <t xml:space="preserve">로고</t>
    </r>
  </si>
  <si>
    <t xml:space="preserve">lg-logo-14410.webp</t>
  </si>
  <si>
    <r>
      <rPr>
        <sz val="10"/>
        <rFont val="Arial"/>
        <family val="0"/>
        <charset val="1"/>
      </rPr>
      <t xml:space="preserve">LG Hitech </t>
    </r>
    <r>
      <rPr>
        <sz val="10"/>
        <rFont val="Noto Sans CJK SC"/>
        <family val="2"/>
      </rPr>
      <t xml:space="preserve">로고</t>
    </r>
  </si>
  <si>
    <t xml:space="preserve">https://raw.githubusercontent.com/soulthread88/imgs/main/homepage/uno/lg-logo-14410.webp</t>
  </si>
  <si>
    <t xml:space="preserve">banner - fiber optic lhd system_kr.png</t>
  </si>
  <si>
    <t xml:space="preserve">https://raw.githubusercontent.com/soulthread88/imgs/main/homepage/uno/banner%20-%20fiber%20optic%20lhd%20system_kr.png</t>
  </si>
  <si>
    <t xml:space="preserve">overview</t>
  </si>
  <si>
    <r>
      <rPr>
        <sz val="10"/>
        <rFont val="Noto Sans CJK SC"/>
        <family val="2"/>
      </rPr>
      <t xml:space="preserve">지하구용 화재수신기와 광케이블식 검출부</t>
    </r>
    <r>
      <rPr>
        <sz val="10"/>
        <rFont val="Arial"/>
        <family val="0"/>
        <charset val="1"/>
      </rPr>
      <t xml:space="preserve">(ADS), </t>
    </r>
    <r>
      <rPr>
        <sz val="10"/>
        <rFont val="Noto Sans CJK SC"/>
        <family val="2"/>
      </rPr>
      <t xml:space="preserve">감지선</t>
    </r>
    <r>
      <rPr>
        <sz val="10"/>
        <rFont val="Arial"/>
        <family val="0"/>
        <charset val="1"/>
      </rPr>
      <t xml:space="preserve">(FOS), </t>
    </r>
    <r>
      <rPr>
        <sz val="10"/>
        <rFont val="Noto Sans CJK SC"/>
        <family val="2"/>
      </rPr>
      <t xml:space="preserve">발신기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지구경종 등 현장 설비</t>
    </r>
  </si>
  <si>
    <t xml:space="preserve">dg-1</t>
  </si>
  <si>
    <r>
      <rPr>
        <sz val="10"/>
        <rFont val="Noto Sans CJK SC"/>
        <family val="2"/>
      </rPr>
      <t xml:space="preserve">광케이블식 화재감시시스템 구성도 </t>
    </r>
    <r>
      <rPr>
        <sz val="10"/>
        <rFont val="Arial"/>
        <family val="0"/>
        <charset val="1"/>
      </rPr>
      <t xml:space="preserve">4K.webp</t>
    </r>
  </si>
  <si>
    <t xml:space="preserve">광케이블식 화재감시시스템 전체 구성</t>
  </si>
  <si>
    <t xml:space="preserve">https://raw.githubusercontent.com/soulthread88/imgs/main/homepage/uno/%EA%B4%91%EC%BC%80%EC%9D%B4%EB%B8%94%EC%8B%9D%20%ED%99%94%EC%9E%AC%EA%B0%90%EC%8B%9C%EC%8B%9C%EC%8A%A4%ED%85%9C%20%EA%B5%AC%EC%84%B1%EB%8F%84%204K.webp</t>
  </si>
  <si>
    <t xml:space="preserve">components</t>
  </si>
  <si>
    <r>
      <rPr>
        <sz val="10"/>
        <rFont val="Arial"/>
        <family val="0"/>
        <charset val="1"/>
      </rPr>
      <t xml:space="preserve">fos </t>
    </r>
    <r>
      <rPr>
        <sz val="10"/>
        <rFont val="Noto Sans CJK SC"/>
        <family val="2"/>
      </rPr>
      <t xml:space="preserve">검출부 로컬수신기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</si>
  <si>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검출부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로컬수신기</t>
    </r>
  </si>
  <si>
    <t xml:space="preserve">https://raw.githubusercontent.com/soulthread88/imgs/main/homepage/uno/fos%20%EA%B2%80%EC%B6%9C%EB%B6%80%20%EB%A1%9C%EC%BB%AC%EC%88%98%EC%8B%A0%EA%B8%B0.webp</t>
  </si>
  <si>
    <r>
      <rPr>
        <sz val="10"/>
        <rFont val="Arial"/>
        <family val="0"/>
        <charset val="1"/>
      </rPr>
      <t xml:space="preserve">fos </t>
    </r>
    <r>
      <rPr>
        <sz val="10"/>
        <rFont val="Noto Sans CJK SC"/>
        <family val="2"/>
      </rPr>
      <t xml:space="preserve">감시제어실 통합수신기</t>
    </r>
    <r>
      <rPr>
        <sz val="10"/>
        <rFont val="Arial"/>
        <family val="0"/>
        <charset val="1"/>
      </rPr>
      <t xml:space="preserve">.webp</t>
    </r>
  </si>
  <si>
    <t xml:space="preserve">감시제어실 통합수신기</t>
  </si>
  <si>
    <t xml:space="preserve">https://raw.githubusercontent.com/soulthread88/imgs/main/homepage/uno/fos%20%EA%B0%90%EC%8B%9C%EC%A0%9C%EC%96%B4%EC%8B%A4%20%ED%86%B5%ED%95%A9%EC%88%98%EC%8B%A0%EA%B8%B0.webp</t>
  </si>
  <si>
    <r>
      <rPr>
        <sz val="10"/>
        <rFont val="Arial"/>
        <family val="0"/>
        <charset val="1"/>
      </rPr>
      <t xml:space="preserve">fos </t>
    </r>
    <r>
      <rPr>
        <sz val="10"/>
        <rFont val="Noto Sans CJK SC"/>
        <family val="2"/>
      </rPr>
      <t xml:space="preserve">변전소 스카다 연동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</si>
  <si>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변전소 </t>
    </r>
    <r>
      <rPr>
        <sz val="10"/>
        <rFont val="Arial"/>
        <family val="0"/>
        <charset val="1"/>
      </rPr>
      <t xml:space="preserve">SCADA </t>
    </r>
    <r>
      <rPr>
        <sz val="10"/>
        <rFont val="Noto Sans CJK SC"/>
        <family val="2"/>
      </rPr>
      <t xml:space="preserve">연동</t>
    </r>
  </si>
  <si>
    <t xml:space="preserve">https://raw.githubusercontent.com/soulthread88/imgs/main/homepage/uno/fos%20%EB%B3%80%EC%A0%84%EC%86%8C%20%EC%8A%A4%EC%B9%B4%EB%8B%A4%20%EC%97%B0%EB%8F%99.webp</t>
  </si>
  <si>
    <t xml:space="preserve">광케이블식 차동식분포형 감지기 메인 이미지</t>
  </si>
  <si>
    <r>
      <rPr>
        <sz val="10"/>
        <rFont val="Noto Sans CJK SC"/>
        <family val="2"/>
      </rPr>
      <t xml:space="preserve">광케이블식 차동식분포형 감지기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감</t>
    </r>
    <r>
      <rPr>
        <sz val="10"/>
        <rFont val="Arial"/>
        <family val="0"/>
        <charset val="1"/>
      </rPr>
      <t xml:space="preserve">24-74)</t>
    </r>
  </si>
  <si>
    <t xml:space="preserve">케이블 전 구간이 하나의 센서</t>
  </si>
  <si>
    <t xml:space="preserve">라만 후방산란 측정</t>
  </si>
  <si>
    <t xml:space="preserve">small-sized fire detected.webp</t>
  </si>
  <si>
    <r>
      <rPr>
        <sz val="10"/>
        <rFont val="Noto Sans CJK SC"/>
        <family val="2"/>
      </rPr>
      <t xml:space="preserve">정온식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차동식 동시 판별</t>
    </r>
  </si>
  <si>
    <t xml:space="preserve">https://raw.githubusercontent.com/soulthread88/imgs/main/homepage/uno/small-sized%20fire%20detected.webp</t>
  </si>
  <si>
    <t xml:space="preserve">fiber optic lhd at ceiling of shopping mall.webp</t>
  </si>
  <si>
    <r>
      <rPr>
        <sz val="10"/>
        <rFont val="Noto Sans CJK SC"/>
        <family val="2"/>
      </rPr>
      <t xml:space="preserve">전자기 간섭 무관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방폭 환경 적합</t>
    </r>
  </si>
  <si>
    <r>
      <rPr>
        <sz val="10"/>
        <rFont val="Arial"/>
        <family val="0"/>
        <charset val="1"/>
      </rPr>
      <t xml:space="preserve">WebP </t>
    </r>
    <r>
      <rPr>
        <sz val="10"/>
        <rFont val="Noto Sans CJK SC"/>
        <family val="2"/>
      </rPr>
      <t xml:space="preserve">미업로드</t>
    </r>
    <r>
      <rPr>
        <sz val="10"/>
        <rFont val="Arial"/>
        <family val="0"/>
        <charset val="1"/>
      </rPr>
      <t xml:space="preserve">(404) — </t>
    </r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(data-orig)</t>
    </r>
    <r>
      <rPr>
        <sz val="10"/>
        <rFont val="Noto Sans CJK SC"/>
        <family val="2"/>
      </rPr>
      <t xml:space="preserve">으로 대체 표시됨</t>
    </r>
    <r>
      <rPr>
        <sz val="10"/>
        <rFont val="Arial"/>
        <family val="0"/>
        <charset val="1"/>
      </rPr>
      <t xml:space="preserve">, WebP </t>
    </r>
    <r>
      <rPr>
        <sz val="10"/>
        <rFont val="Noto Sans CJK SC"/>
        <family val="2"/>
      </rPr>
      <t xml:space="preserve">업로드 권장</t>
    </r>
  </si>
  <si>
    <t xml:space="preserve">https://raw.githubusercontent.com/soulthread88/imgs/main/homepage/uno/fiber%20optic%20lhd%20at%20ceiling%20of%20shopping%20mall.webp</t>
  </si>
  <si>
    <r>
      <rPr>
        <sz val="10"/>
        <rFont val="Noto Sans CJK SC"/>
        <family val="2"/>
      </rPr>
      <t xml:space="preserve">광케이블 </t>
    </r>
    <r>
      <rPr>
        <sz val="10"/>
        <rFont val="Arial"/>
        <family val="0"/>
        <charset val="1"/>
      </rPr>
      <t xml:space="preserve">SUS316 2.webp</t>
    </r>
  </si>
  <si>
    <t xml:space="preserve">스테인레스 파이프 내장 구조</t>
  </si>
  <si>
    <t xml:space="preserve">https://raw.githubusercontent.com/soulthread88/imgs/main/homepage/uno/%EA%B4%91%EC%BC%80%EC%9D%B4%EB%B8%94%20SUS316%202.webp</t>
  </si>
  <si>
    <t xml:space="preserve">installation of cable in sine wave pattern.webp</t>
  </si>
  <si>
    <t xml:space="preserve">간단한 유지보수</t>
  </si>
  <si>
    <t xml:space="preserve">https://raw.githubusercontent.com/soulthread88/imgs/main/homepage/uno/installation%20of%20cable%20in%20sine%20wave%20pattern.webp</t>
  </si>
  <si>
    <t xml:space="preserve">box-sys-img-1</t>
  </si>
  <si>
    <t xml:space="preserve">power cable install.webp</t>
  </si>
  <si>
    <t xml:space="preserve">광케이블 감지기 포설</t>
  </si>
  <si>
    <t xml:space="preserve">https://raw.githubusercontent.com/soulthread88/imgs/main/homepage/uno/power%20cable%20install.webp</t>
  </si>
  <si>
    <t xml:space="preserve">box-sys-img-2</t>
  </si>
  <si>
    <t xml:space="preserve">principle of dts.webp</t>
  </si>
  <si>
    <t xml:space="preserve">전 구간 온도 연속 측정</t>
  </si>
  <si>
    <t xml:space="preserve">https://raw.githubusercontent.com/soulthread88/imgs/main/homepage/uno/principle%20of%20dts.webp</t>
  </si>
  <si>
    <t xml:space="preserve">box-sys-img-3</t>
  </si>
  <si>
    <r>
      <rPr>
        <sz val="10"/>
        <rFont val="Noto Sans CJK SC"/>
        <family val="2"/>
      </rPr>
      <t xml:space="preserve">광케이블 화재감지시스템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</si>
  <si>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경보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위치 표시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통합관제 연동</t>
    </r>
  </si>
  <si>
    <r>
      <rPr>
        <sz val="10"/>
        <rFont val="Arial"/>
        <family val="0"/>
        <charset val="1"/>
      </rPr>
      <t xml:space="preserve">WebP </t>
    </r>
    <r>
      <rPr>
        <sz val="10"/>
        <rFont val="Noto Sans CJK SC"/>
        <family val="2"/>
      </rPr>
      <t xml:space="preserve">미업로드</t>
    </r>
    <r>
      <rPr>
        <sz val="10"/>
        <rFont val="Arial"/>
        <family val="0"/>
        <charset val="1"/>
      </rPr>
      <t xml:space="preserve">(404) — </t>
    </r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(data-orig)</t>
    </r>
    <r>
      <rPr>
        <sz val="10"/>
        <rFont val="Noto Sans CJK SC"/>
        <family val="2"/>
      </rPr>
      <t xml:space="preserve">으로 대체 표시됨</t>
    </r>
    <r>
      <rPr>
        <sz val="10"/>
        <rFont val="Arial"/>
        <family val="0"/>
        <charset val="1"/>
      </rPr>
      <t xml:space="preserve">, WebP </t>
    </r>
    <r>
      <rPr>
        <sz val="10"/>
        <rFont val="Noto Sans CJK SC"/>
        <family val="2"/>
      </rPr>
      <t xml:space="preserve">업로드 권장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</si>
  <si>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https://raw.githubusercontent.com/soulthread88/imgs/main/homepage/uno/%EA%B4%91%EC%BC%80%EC%9D%B4%EB%B8%94%20%ED%99%94%EC%9E%AC%EA%B0%90%EC%A7%80%EC%8B%9C%EC%8A%A4%ED%85%9C.webp</t>
  </si>
  <si>
    <t xml:space="preserve">install at road tunnel 1.webp</t>
  </si>
  <si>
    <t xml:space="preserve">터널 구간 광케이블 감지기 포설</t>
  </si>
  <si>
    <t xml:space="preserve">https://raw.githubusercontent.com/soulthread88/imgs/main/homepage/uno/install%20at%20road%20tunnel%201.webp</t>
  </si>
  <si>
    <t xml:space="preserve">road tunnel install.webp</t>
  </si>
  <si>
    <t xml:space="preserve">도로 터널 천장 이중 감지기 배치</t>
  </si>
  <si>
    <t xml:space="preserve">https://raw.githubusercontent.com/soulthread88/imgs/main/homepage/uno/road%20tunnel%20install.webp</t>
  </si>
  <si>
    <t xml:space="preserve">fiber optic lhd in shopping mall.webp</t>
  </si>
  <si>
    <t xml:space="preserve">대형 상업시설 포설 루프 구성도</t>
  </si>
  <si>
    <t xml:space="preserve">https://raw.githubusercontent.com/soulthread88/imgs/main/homepage/uno/fiber%20optic%20lhd%20in%20shopping%20mall.webp</t>
  </si>
  <si>
    <t xml:space="preserve">uno facp with fiber optic lhd 4.webp</t>
  </si>
  <si>
    <r>
      <rPr>
        <sz val="10"/>
        <rFont val="Noto Sans CJK SC"/>
        <family val="2"/>
      </rPr>
      <t xml:space="preserve">전력구 </t>
    </r>
    <r>
      <rPr>
        <sz val="10"/>
        <rFont val="Arial"/>
        <family val="0"/>
        <charset val="1"/>
      </rPr>
      <t xml:space="preserve">DTS </t>
    </r>
    <r>
      <rPr>
        <sz val="10"/>
        <rFont val="Noto Sans CJK SC"/>
        <family val="2"/>
      </rPr>
      <t xml:space="preserve">통합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형 수신기 연동 운용</t>
    </r>
  </si>
  <si>
    <t xml:space="preserve">https://raw.githubusercontent.com/soulthread88/imgs/main/homepage/uno/uno%20facp%20with%20fiber%20optic%20lhd%204.webp</t>
  </si>
  <si>
    <t xml:space="preserve">banner - fire monitoring system.webp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</si>
  <si>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(2.92)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</si>
  <si>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https://raw.githubusercontent.com/soulthread88/imgs/main/homepage/uno/banner%20-%20fire%20monitoring%20system.webp</t>
  </si>
  <si>
    <r>
      <rPr>
        <sz val="10"/>
        <rFont val="Arial"/>
        <family val="0"/>
        <charset val="1"/>
      </rPr>
      <t xml:space="preserve">SCADA / BACnet / Modbus </t>
    </r>
    <r>
      <rPr>
        <sz val="10"/>
        <rFont val="Noto Sans CJK SC"/>
        <family val="2"/>
      </rPr>
      <t xml:space="preserve">연동</t>
    </r>
  </si>
  <si>
    <t xml:space="preserve">전국 소방서 통합감시</t>
  </si>
  <si>
    <r>
      <rPr>
        <sz val="10"/>
        <rFont val="Noto Sans CJK SC"/>
        <family val="2"/>
      </rPr>
      <t xml:space="preserve">서울 메트로에 설치된 횡파스피커 </t>
    </r>
    <r>
      <rPr>
        <sz val="10"/>
        <rFont val="Arial"/>
        <family val="0"/>
        <charset val="1"/>
      </rPr>
      <t xml:space="preserve">1.webp</t>
    </r>
  </si>
  <si>
    <r>
      <rPr>
        <sz val="10"/>
        <rFont val="Noto Sans CJK SC"/>
        <family val="2"/>
      </rPr>
      <t xml:space="preserve">서울메트로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호선 횡파스피커 </t>
    </r>
    <r>
      <rPr>
        <sz val="10"/>
        <rFont val="Arial"/>
        <family val="0"/>
        <charset val="1"/>
      </rPr>
      <t xml:space="preserve">640</t>
    </r>
    <r>
      <rPr>
        <sz val="10"/>
        <rFont val="Noto Sans CJK SC"/>
        <family val="2"/>
      </rPr>
      <t xml:space="preserve">대 납품 현장</t>
    </r>
  </si>
  <si>
    <t xml:space="preserve">https://raw.githubusercontent.com/soulthread88/imgs/main/homepage/uno/%EC%84%9C%EC%9A%B8%20%EB%A9%94%ED%8A%B8%EB%A1%9C%EC%97%90%20%EC%84%A4%EC%B9%98%EB%90%9C%20%ED%9A%A1%ED%8C%8C%EC%8A%A4%ED%94%BC%EC%BB%A4%201.webp</t>
  </si>
  <si>
    <r>
      <rPr>
        <sz val="10"/>
        <rFont val="Noto Sans CJK SC"/>
        <family val="2"/>
      </rPr>
      <t xml:space="preserve">화재정보수집장치</t>
    </r>
    <r>
      <rPr>
        <sz val="10"/>
        <rFont val="Arial"/>
        <family val="0"/>
        <charset val="1"/>
      </rPr>
      <t xml:space="preserve">.webp</t>
    </r>
  </si>
  <si>
    <t xml:space="preserve">저전력 무선 통신 장치</t>
  </si>
  <si>
    <t xml:space="preserve">https://raw.githubusercontent.com/soulthread88/imgs/main/homepage/uno/%ED%99%94%EC%9E%AC%EC%A0%95%EB%B3%B4%EC%88%98%EC%A7%91%EC%9E%A5%EC%B9%98.webp</t>
  </si>
  <si>
    <t xml:space="preserve">fms - interface with aux. facp.webp</t>
  </si>
  <si>
    <t xml:space="preserve">수신기 무선 연동</t>
  </si>
  <si>
    <t xml:space="preserve">https://raw.githubusercontent.com/soulthread88/imgs/main/homepage/uno/fms%20-%20interface%20with%20aux.%20facp.webp</t>
  </si>
  <si>
    <t xml:space="preserve">diag-img01</t>
  </si>
  <si>
    <t xml:space="preserve">광케이블 감지기</t>
  </si>
  <si>
    <t xml:space="preserve">diag-img02</t>
  </si>
  <si>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형 수신기</t>
    </r>
  </si>
  <si>
    <t xml:space="preserve">diag-img03</t>
  </si>
  <si>
    <r>
      <rPr>
        <sz val="10"/>
        <rFont val="Noto Sans CJK SC"/>
        <family val="2"/>
      </rPr>
      <t xml:space="preserve">통합 수신기 </t>
    </r>
    <r>
      <rPr>
        <sz val="10"/>
        <rFont val="Arial"/>
        <family val="0"/>
        <charset val="1"/>
      </rPr>
      <t xml:space="preserve">- Slave </t>
    </r>
    <r>
      <rPr>
        <sz val="10"/>
        <rFont val="Noto Sans CJK SC"/>
        <family val="2"/>
      </rPr>
      <t xml:space="preserve">수신기 </t>
    </r>
    <r>
      <rPr>
        <sz val="10"/>
        <rFont val="Arial"/>
        <family val="0"/>
        <charset val="1"/>
      </rPr>
      <t xml:space="preserve">3.webp</t>
    </r>
  </si>
  <si>
    <r>
      <rPr>
        <sz val="10"/>
        <rFont val="Arial"/>
        <family val="0"/>
        <charset val="1"/>
      </rPr>
      <t xml:space="preserve">TCP/IP </t>
    </r>
    <r>
      <rPr>
        <sz val="10"/>
        <rFont val="Noto Sans CJK SC"/>
        <family val="2"/>
      </rPr>
      <t xml:space="preserve">네트워크</t>
    </r>
  </si>
  <si>
    <t xml:space="preserve">https://raw.githubusercontent.com/soulthread88/imgs/main/homepage/uno/%ED%86%B5%ED%95%A9%20%EC%88%98%EC%8B%A0%EA%B8%B0%20-%20Slave%20%EC%88%98%EC%8B%A0%EA%B8%B0%203.webp</t>
  </si>
  <si>
    <t xml:space="preserve">diag-img04</t>
  </si>
  <si>
    <r>
      <rPr>
        <sz val="10"/>
        <rFont val="Noto Sans CJK SC"/>
        <family val="2"/>
      </rPr>
      <t xml:space="preserve">단독형 수신기 및 통합감시설비 구성도</t>
    </r>
    <r>
      <rPr>
        <sz val="10"/>
        <rFont val="Arial"/>
        <family val="0"/>
        <charset val="1"/>
      </rPr>
      <t xml:space="preserve">.webp</t>
    </r>
  </si>
  <si>
    <t xml:space="preserve">소방통합감시 보조수신기</t>
  </si>
  <si>
    <t xml:space="preserve">https://raw.githubusercontent.com/soulthread88/imgs/main/homepage/uno/%EB%8B%A8%EB%8F%85%ED%98%95%20%EC%88%98%EC%8B%A0%EA%B8%B0%20%EB%B0%8F%20%ED%86%B5%ED%95%A9%EA%B0%90%EC%8B%9C%EC%84%A4%EB%B9%84%20%EA%B5%AC%EC%84%B1%EB%8F%84.webp</t>
  </si>
  <si>
    <t xml:space="preserve">diag-img05</t>
  </si>
  <si>
    <r>
      <rPr>
        <sz val="10"/>
        <rFont val="Noto Sans CJK SC"/>
        <family val="2"/>
      </rPr>
      <t xml:space="preserve">통합감시설비 화면 </t>
    </r>
    <r>
      <rPr>
        <sz val="10"/>
        <rFont val="Arial"/>
        <family val="0"/>
        <charset val="1"/>
      </rPr>
      <t xml:space="preserve">1.webp</t>
    </r>
  </si>
  <si>
    <t xml:space="preserve">소방서 통합관제</t>
  </si>
  <si>
    <t xml:space="preserve">https://raw.githubusercontent.com/soulthread88/imgs/main/homepage/uno/%ED%86%B5%ED%95%A9%EA%B0%90%EC%8B%9C%EC%84%A4%EB%B9%84%20%ED%99%94%EB%A9%B4%201.webp</t>
  </si>
  <si>
    <r>
      <rPr>
        <sz val="10"/>
        <rFont val="Noto Sans CJK SC"/>
        <family val="2"/>
      </rPr>
      <t xml:space="preserve">광케이블 감지기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감</t>
    </r>
    <r>
      <rPr>
        <sz val="10"/>
        <rFont val="Arial"/>
        <family val="0"/>
        <charset val="1"/>
      </rPr>
      <t xml:space="preserve">24-74 / </t>
    </r>
    <r>
      <rPr>
        <sz val="10"/>
        <rFont val="Noto Sans CJK SC"/>
        <family val="2"/>
      </rPr>
      <t xml:space="preserve">감</t>
    </r>
    <r>
      <rPr>
        <sz val="10"/>
        <rFont val="Arial"/>
        <family val="0"/>
        <charset val="1"/>
      </rPr>
      <t xml:space="preserve">26-9)</t>
    </r>
  </si>
  <si>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형 수신기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</t>
    </r>
    <r>
      <rPr>
        <sz val="10"/>
        <rFont val="Arial"/>
        <family val="0"/>
        <charset val="1"/>
      </rPr>
      <t xml:space="preserve">25-66 DTS </t>
    </r>
    <r>
      <rPr>
        <sz val="10"/>
        <rFont val="Noto Sans CJK SC"/>
        <family val="2"/>
      </rPr>
      <t xml:space="preserve">통합형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</si>
  <si>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통합관제시스템</t>
    </r>
    <r>
      <rPr>
        <sz val="10"/>
        <rFont val="Arial"/>
        <family val="0"/>
        <charset val="1"/>
      </rPr>
      <t xml:space="preserve">(IMS) </t>
    </r>
    <r>
      <rPr>
        <sz val="10"/>
        <rFont val="Noto Sans CJK SC"/>
        <family val="2"/>
      </rPr>
      <t xml:space="preserve">구성도</t>
    </r>
    <r>
      <rPr>
        <sz val="10"/>
        <rFont val="Arial"/>
        <family val="0"/>
        <charset val="1"/>
      </rPr>
      <t xml:space="preserve">.webp</t>
    </r>
  </si>
  <si>
    <r>
      <rPr>
        <sz val="10"/>
        <rFont val="Arial"/>
        <family val="0"/>
        <charset val="1"/>
      </rPr>
      <t xml:space="preserve">TCP/IP · RS-485 </t>
    </r>
    <r>
      <rPr>
        <sz val="10"/>
        <rFont val="Noto Sans CJK SC"/>
        <family val="2"/>
      </rPr>
      <t xml:space="preserve">네트워크</t>
    </r>
  </si>
  <si>
    <t xml:space="preserve">https://raw.githubusercontent.com/soulthread88/imgs/main/homepage/uno/%ED%86%B5%ED%95%A9%EA%B4%80%EC%A0%9C%EC%8B%9C%EC%8A%A4%ED%85%9C%28IMS%29%20%EA%B5%AC%EC%84%B1%EB%8F%84.webp</t>
  </si>
  <si>
    <r>
      <rPr>
        <sz val="10"/>
        <rFont val="Noto Sans CJK SC"/>
        <family val="2"/>
      </rPr>
      <t xml:space="preserve">통합감시설비 화면 </t>
    </r>
    <r>
      <rPr>
        <sz val="10"/>
        <rFont val="Arial"/>
        <family val="0"/>
        <charset val="1"/>
      </rPr>
      <t xml:space="preserve">2.webp</t>
    </r>
  </si>
  <si>
    <r>
      <rPr>
        <sz val="10"/>
        <rFont val="Noto Sans CJK SC"/>
        <family val="2"/>
      </rPr>
      <t xml:space="preserve">소방 통합 감시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보조수신기 </t>
    </r>
    <r>
      <rPr>
        <sz val="10"/>
        <rFont val="Arial"/>
        <family val="0"/>
        <charset val="1"/>
      </rPr>
      <t xml:space="preserve">/ GIS)</t>
    </r>
  </si>
  <si>
    <t xml:space="preserve">https://raw.githubusercontent.com/soulthread88/imgs/main/homepage/uno/%ED%86%B5%ED%95%A9%EA%B0%90%EC%8B%9C%EC%84%A4%EB%B9%84%20%ED%99%94%EB%A9%B4%202.webp</t>
  </si>
  <si>
    <t xml:space="preserve">banner image 1.webp</t>
  </si>
  <si>
    <r>
      <rPr>
        <sz val="10"/>
        <rFont val="Noto Sans CJK SC"/>
        <family val="2"/>
      </rPr>
      <t xml:space="preserve">소방서 통합 관제 </t>
    </r>
    <r>
      <rPr>
        <sz val="10"/>
        <rFont val="Arial"/>
        <family val="0"/>
        <charset val="1"/>
      </rPr>
      <t xml:space="preserve">(119 </t>
    </r>
    <r>
      <rPr>
        <sz val="10"/>
        <rFont val="Noto Sans CJK SC"/>
        <family val="2"/>
      </rPr>
      <t xml:space="preserve">소방본부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</si>
  <si>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(3.0)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</si>
  <si>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https://raw.githubusercontent.com/soulthread88/imgs/main/homepage/uno/banner%20image%201.webp</t>
  </si>
  <si>
    <r>
      <rPr>
        <sz val="10"/>
        <rFont val="Noto Sans CJK SC"/>
        <family val="2"/>
      </rPr>
      <t xml:space="preserve">지하구 통합감시시설 구성 — 화재수신기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지하구</t>
    </r>
    <r>
      <rPr>
        <sz val="10"/>
        <rFont val="Arial"/>
        <family val="0"/>
        <charset val="1"/>
      </rPr>
      <t xml:space="preserve">) · Dual </t>
    </r>
    <r>
      <rPr>
        <sz val="10"/>
        <rFont val="Noto Sans CJK SC"/>
        <family val="2"/>
      </rPr>
      <t xml:space="preserve">무선 통신변환장치</t>
    </r>
    <r>
      <rPr>
        <sz val="10"/>
        <rFont val="Arial"/>
        <family val="0"/>
        <charset val="1"/>
      </rPr>
      <t xml:space="preserve">(U+, KT) → IoT LTE → </t>
    </r>
    <r>
      <rPr>
        <sz val="10"/>
        <rFont val="Noto Sans CJK SC"/>
        <family val="2"/>
      </rPr>
      <t xml:space="preserve">소방본부 </t>
    </r>
    <r>
      <rPr>
        <sz val="10"/>
        <rFont val="Arial"/>
        <family val="0"/>
        <charset val="1"/>
      </rPr>
      <t xml:space="preserve">119</t>
    </r>
    <r>
      <rPr>
        <sz val="10"/>
        <rFont val="Noto Sans CJK SC"/>
        <family val="2"/>
      </rPr>
      <t xml:space="preserve">종합상황실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화재 발생 시 </t>
    </r>
    <r>
      <rPr>
        <sz val="10"/>
        <rFont val="Arial"/>
        <family val="0"/>
        <charset val="1"/>
      </rPr>
      <t xml:space="preserve">SMS </t>
    </r>
    <r>
      <rPr>
        <sz val="10"/>
        <rFont val="Noto Sans CJK SC"/>
        <family val="2"/>
      </rPr>
      <t xml:space="preserve">발송</t>
    </r>
  </si>
  <si>
    <t xml:space="preserve">uno underground monitoring gis screen.webp</t>
  </si>
  <si>
    <r>
      <rPr>
        <sz val="10"/>
        <rFont val="Noto Sans CJK SC"/>
        <family val="2"/>
      </rPr>
      <t xml:space="preserve">지하구 통합 감시 시스템 화면 </t>
    </r>
    <r>
      <rPr>
        <sz val="10"/>
        <rFont val="Arial"/>
        <family val="0"/>
        <charset val="1"/>
      </rPr>
      <t xml:space="preserve">(119</t>
    </r>
    <r>
      <rPr>
        <sz val="10"/>
        <rFont val="Noto Sans CJK SC"/>
        <family val="2"/>
      </rPr>
      <t xml:space="preserve">종합상황실</t>
    </r>
    <r>
      <rPr>
        <sz val="10"/>
        <rFont val="Arial"/>
        <family val="0"/>
        <charset val="1"/>
      </rPr>
      <t xml:space="preserve">)</t>
    </r>
  </si>
  <si>
    <t xml:space="preserve">https://raw.githubusercontent.com/soulthread88/imgs/main/homepage/uno/uno%20underground%20monitoring%20gis%20screen.webp</t>
  </si>
  <si>
    <t xml:space="preserve">banner - fire monitoring system.png</t>
  </si>
  <si>
    <t xml:space="preserve">https://raw.githubusercontent.com/soulthread88/imgs/main/homepage/uno/banner%20-%20fire%20monitoring%20system.png</t>
  </si>
  <si>
    <t xml:space="preserve">banner image 1.png</t>
  </si>
  <si>
    <t xml:space="preserve">https://raw.githubusercontent.com/soulthread88/imgs/main/homepage/uno/banner%20image%201.png</t>
  </si>
  <si>
    <r>
      <rPr>
        <sz val="10"/>
        <rFont val="Noto Sans CJK SC"/>
        <family val="2"/>
      </rPr>
      <t xml:space="preserve">지하구 통합감시시설 구성도 </t>
    </r>
    <r>
      <rPr>
        <sz val="10"/>
        <rFont val="Arial"/>
        <family val="0"/>
        <charset val="1"/>
      </rPr>
      <t xml:space="preserve">4K.webp</t>
    </r>
  </si>
  <si>
    <t xml:space="preserve">지하구 통합감시시설 구성</t>
  </si>
  <si>
    <t xml:space="preserve">https://raw.githubusercontent.com/soulthread88/imgs/main/homepage/uno/%EC%A7%80%ED%95%98%EA%B5%AC%20%ED%86%B5%ED%95%A9%EA%B0%90%EC%8B%9C%EC%8B%9C%EC%84%A4%20%EA%B5%AC%EC%84%B1%EB%8F%84%204K.webp</t>
  </si>
  <si>
    <r>
      <rPr>
        <sz val="10"/>
        <rFont val="Arial"/>
        <family val="0"/>
        <charset val="1"/>
      </rPr>
      <t xml:space="preserve">ug </t>
    </r>
    <r>
      <rPr>
        <sz val="10"/>
        <rFont val="Noto Sans CJK SC"/>
        <family val="2"/>
      </rPr>
      <t xml:space="preserve">지하구 화재수신기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</si>
  <si>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화재수신기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지하구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</si>
  <si>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(0.75)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</si>
  <si>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https://raw.githubusercontent.com/soulthread88/imgs/main/homepage/uno/ug%20%EC%A7%80%ED%95%98%EA%B5%AC%20%ED%99%94%EC%9E%AC%EC%88%98%EC%8B%A0%EA%B8%B0.webp</t>
  </si>
  <si>
    <r>
      <rPr>
        <sz val="10"/>
        <rFont val="Arial"/>
        <family val="0"/>
        <charset val="1"/>
      </rPr>
      <t xml:space="preserve">ug </t>
    </r>
    <r>
      <rPr>
        <sz val="10"/>
        <rFont val="Noto Sans CJK SC"/>
        <family val="2"/>
      </rPr>
      <t xml:space="preserve">무선 통신변환장치</t>
    </r>
    <r>
      <rPr>
        <sz val="10"/>
        <rFont val="Arial"/>
        <family val="0"/>
        <charset val="1"/>
      </rPr>
      <t xml:space="preserve">.webp</t>
    </r>
  </si>
  <si>
    <r>
      <rPr>
        <sz val="10"/>
        <rFont val="Arial"/>
        <family val="0"/>
        <charset val="1"/>
      </rPr>
      <t xml:space="preserve">Dual </t>
    </r>
    <r>
      <rPr>
        <sz val="10"/>
        <rFont val="Noto Sans CJK SC"/>
        <family val="2"/>
      </rPr>
      <t xml:space="preserve">무선 통신변환장치</t>
    </r>
  </si>
  <si>
    <t xml:space="preserve">https://raw.githubusercontent.com/soulthread88/imgs/main/homepage/uno/ug%20%EB%AC%B4%EC%84%A0%20%ED%86%B5%EC%8B%A0%EB%B3%80%ED%99%98%EC%9E%A5%EC%B9%98.webp</t>
  </si>
  <si>
    <r>
      <rPr>
        <sz val="10"/>
        <rFont val="Arial"/>
        <family val="0"/>
        <charset val="1"/>
      </rPr>
      <t xml:space="preserve">ug </t>
    </r>
    <r>
      <rPr>
        <sz val="10"/>
        <rFont val="Noto Sans CJK SC"/>
        <family val="2"/>
      </rPr>
      <t xml:space="preserve">보조수신기 </t>
    </r>
    <r>
      <rPr>
        <sz val="10"/>
        <rFont val="Arial"/>
        <family val="0"/>
        <charset val="1"/>
      </rPr>
      <t xml:space="preserve">IMS.webp</t>
    </r>
  </si>
  <si>
    <r>
      <rPr>
        <sz val="10"/>
        <rFont val="Noto Sans CJK SC"/>
        <family val="2"/>
      </rPr>
      <t xml:space="preserve">보조수신기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통합관제시스템</t>
    </r>
    <r>
      <rPr>
        <sz val="10"/>
        <rFont val="Arial"/>
        <family val="0"/>
        <charset val="1"/>
      </rPr>
      <t xml:space="preserve">(IMS)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</si>
  <si>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(0.82)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</si>
  <si>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https://raw.githubusercontent.com/soulthread88/imgs/main/homepage/uno/ug%20%EB%B3%B4%EC%A1%B0%EC%88%98%EC%8B%A0%EA%B8%B0%20IMS.webp</t>
  </si>
  <si>
    <r>
      <rPr>
        <sz val="10"/>
        <rFont val="Noto Sans CJK SC"/>
        <family val="2"/>
      </rPr>
      <t xml:space="preserve">소방관 </t>
    </r>
    <r>
      <rPr>
        <sz val="10"/>
        <rFont val="Arial"/>
        <family val="0"/>
        <charset val="1"/>
      </rPr>
      <t xml:space="preserve">Smart Name </t>
    </r>
    <r>
      <rPr>
        <sz val="10"/>
        <rFont val="Noto Sans CJK SC"/>
        <family val="2"/>
      </rPr>
      <t xml:space="preserve">태그 구성</t>
    </r>
  </si>
  <si>
    <r>
      <rPr>
        <sz val="10"/>
        <rFont val="Noto Sans CJK SC"/>
        <family val="2"/>
      </rPr>
      <t xml:space="preserve">소방관 </t>
    </r>
    <r>
      <rPr>
        <sz val="10"/>
        <rFont val="Arial"/>
        <family val="0"/>
        <charset val="1"/>
      </rPr>
      <t xml:space="preserve">Smart Name </t>
    </r>
    <r>
      <rPr>
        <sz val="10"/>
        <rFont val="Noto Sans CJK SC"/>
        <family val="2"/>
      </rPr>
      <t xml:space="preserve">태그 구성 — 소방관 상태 정보는 </t>
    </r>
    <r>
      <rPr>
        <sz val="10"/>
        <rFont val="Arial"/>
        <family val="0"/>
        <charset val="1"/>
      </rPr>
      <t xml:space="preserve">RF Mesh Network</t>
    </r>
    <r>
      <rPr>
        <sz val="10"/>
        <rFont val="Noto Sans CJK SC"/>
        <family val="2"/>
      </rPr>
      <t xml:space="preserve">로 소방대장의 통합관리 </t>
    </r>
    <r>
      <rPr>
        <sz val="10"/>
        <rFont val="Arial"/>
        <family val="0"/>
        <charset val="1"/>
      </rPr>
      <t xml:space="preserve">Tablet</t>
    </r>
    <r>
      <rPr>
        <sz val="10"/>
        <rFont val="Noto Sans CJK SC"/>
        <family val="2"/>
      </rPr>
      <t xml:space="preserve">에 전달되고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소방대장 명령 정보는 현장 소방관에게 전달</t>
    </r>
  </si>
  <si>
    <r>
      <rPr>
        <sz val="10"/>
        <rFont val="Noto Sans CJK SC"/>
        <family val="2"/>
      </rPr>
      <t xml:space="preserve">공기호흡기 산소통에 장착된 </t>
    </r>
    <r>
      <rPr>
        <sz val="10"/>
        <rFont val="Arial"/>
        <family val="0"/>
        <charset val="1"/>
      </rPr>
      <t xml:space="preserve">Smart Name </t>
    </r>
    <r>
      <rPr>
        <sz val="10"/>
        <rFont val="Noto Sans CJK SC"/>
        <family val="2"/>
      </rPr>
      <t xml:space="preserve">태그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소속 표시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</si>
  <si>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무선 메쉬 네트워킹 구성 — 현장에 배치한 정보수집장치가 </t>
    </r>
    <r>
      <rPr>
        <sz val="10"/>
        <rFont val="Arial"/>
        <family val="0"/>
        <charset val="1"/>
      </rPr>
      <t xml:space="preserve">Mesh </t>
    </r>
    <r>
      <rPr>
        <sz val="10"/>
        <rFont val="Noto Sans CJK SC"/>
        <family val="2"/>
      </rPr>
      <t xml:space="preserve">네트워크로 </t>
    </r>
    <r>
      <rPr>
        <sz val="10"/>
        <rFont val="Arial"/>
        <family val="0"/>
        <charset val="1"/>
      </rPr>
      <t xml:space="preserve">Commander Center·</t>
    </r>
    <r>
      <rPr>
        <sz val="10"/>
        <rFont val="Noto Sans CJK SC"/>
        <family val="2"/>
      </rPr>
      <t xml:space="preserve">통합관리 </t>
    </r>
    <r>
      <rPr>
        <sz val="10"/>
        <rFont val="Arial"/>
        <family val="0"/>
        <charset val="1"/>
      </rPr>
      <t xml:space="preserve">Tablet(</t>
    </r>
    <r>
      <rPr>
        <sz val="10"/>
        <rFont val="Noto Sans CJK SC"/>
        <family val="2"/>
      </rPr>
      <t xml:space="preserve">소방대장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Smart Name </t>
    </r>
    <r>
      <rPr>
        <sz val="10"/>
        <rFont val="Noto Sans CJK SC"/>
        <family val="2"/>
      </rPr>
      <t xml:space="preserve">태그 소방관을 연결</t>
    </r>
  </si>
  <si>
    <r>
      <rPr>
        <sz val="10"/>
        <rFont val="Noto Sans CJK SC"/>
        <family val="2"/>
      </rPr>
      <t xml:space="preserve">소방관 </t>
    </r>
    <r>
      <rPr>
        <sz val="10"/>
        <rFont val="Arial"/>
        <family val="0"/>
        <charset val="1"/>
      </rPr>
      <t xml:space="preserve">Smart Name </t>
    </r>
    <r>
      <rPr>
        <sz val="10"/>
        <rFont val="Noto Sans CJK SC"/>
        <family val="2"/>
      </rPr>
      <t xml:space="preserve">태그 구성도 </t>
    </r>
    <r>
      <rPr>
        <sz val="10"/>
        <rFont val="Arial"/>
        <family val="0"/>
        <charset val="1"/>
      </rPr>
      <t xml:space="preserve">4K.webp</t>
    </r>
  </si>
  <si>
    <r>
      <rPr>
        <sz val="10"/>
        <rFont val="Arial"/>
        <family val="0"/>
        <charset val="1"/>
      </rPr>
      <t xml:space="preserve">Smart Name </t>
    </r>
    <r>
      <rPr>
        <sz val="10"/>
        <rFont val="Noto Sans CJK SC"/>
        <family val="2"/>
      </rPr>
      <t xml:space="preserve">태그 동작 구성</t>
    </r>
  </si>
  <si>
    <t xml:space="preserve">https://raw.githubusercontent.com/soulthread88/imgs/main/homepage/uno/%EC%86%8C%EB%B0%A9%EA%B4%80%20Smart%20Name%20%ED%83%9C%EA%B7%B8%20%EA%B5%AC%EC%84%B1%EB%8F%84%204K.webp</t>
  </si>
  <si>
    <r>
      <rPr>
        <sz val="10"/>
        <rFont val="Arial"/>
        <family val="0"/>
        <charset val="1"/>
      </rPr>
      <t xml:space="preserve">snt </t>
    </r>
    <r>
      <rPr>
        <sz val="10"/>
        <rFont val="Noto Sans CJK SC"/>
        <family val="2"/>
      </rPr>
      <t xml:space="preserve">위급 상태 표시</t>
    </r>
    <r>
      <rPr>
        <sz val="10"/>
        <rFont val="Arial"/>
        <family val="0"/>
        <charset val="1"/>
      </rPr>
      <t xml:space="preserve">.webp</t>
    </r>
  </si>
  <si>
    <t xml:space="preserve">위급 상태 표시 예시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</si>
  <si>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(0.84)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</si>
  <si>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https://raw.githubusercontent.com/soulthread88/imgs/main/homepage/uno/snt%20%EC%9C%84%EA%B8%89%20%EC%83%81%ED%83%9C%20%ED%91%9C%EC%8B%9C.webp</t>
  </si>
  <si>
    <r>
      <rPr>
        <sz val="10"/>
        <rFont val="Arial"/>
        <family val="0"/>
        <charset val="1"/>
      </rPr>
      <t xml:space="preserve">snt </t>
    </r>
    <r>
      <rPr>
        <sz val="10"/>
        <rFont val="Noto Sans CJK SC"/>
        <family val="2"/>
      </rPr>
      <t xml:space="preserve">정상 상태 표시</t>
    </r>
    <r>
      <rPr>
        <sz val="10"/>
        <rFont val="Arial"/>
        <family val="0"/>
        <charset val="1"/>
      </rPr>
      <t xml:space="preserve">.webp</t>
    </r>
  </si>
  <si>
    <t xml:space="preserve">정상 상태 표시 예시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</si>
  <si>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(0.8)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</si>
  <si>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https://raw.githubusercontent.com/soulthread88/imgs/main/homepage/uno/snt%20%EC%A0%95%EC%83%81%20%EC%83%81%ED%83%9C%20%ED%91%9C%EC%8B%9C.webp</t>
  </si>
  <si>
    <r>
      <rPr>
        <sz val="10"/>
        <rFont val="Arial"/>
        <family val="0"/>
        <charset val="1"/>
      </rPr>
      <t xml:space="preserve">snt </t>
    </r>
    <r>
      <rPr>
        <sz val="10"/>
        <rFont val="Noto Sans CJK SC"/>
        <family val="2"/>
      </rPr>
      <t xml:space="preserve">통합관리 태블릿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</si>
  <si>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통합관리 태블릿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소방대장</t>
    </r>
    <r>
      <rPr>
        <sz val="10"/>
        <rFont val="Arial"/>
        <family val="0"/>
        <charset val="1"/>
      </rPr>
      <t xml:space="preserve">)</t>
    </r>
  </si>
  <si>
    <t xml:space="preserve">https://raw.githubusercontent.com/soulthread88/imgs/main/homepage/uno/snt%20%ED%86%B5%ED%95%A9%EA%B4%80%EB%A6%AC%20%ED%83%9C%EB%B8%94%EB%A6%BF.webp</t>
  </si>
  <si>
    <t xml:space="preserve">무선 메쉬 화재 정보수집장치 구성도</t>
  </si>
  <si>
    <r>
      <rPr>
        <sz val="10"/>
        <rFont val="Noto Sans CJK SC"/>
        <family val="2"/>
      </rPr>
      <t xml:space="preserve">무선 메쉬 화재 정보수집장치 구성도 </t>
    </r>
    <r>
      <rPr>
        <sz val="10"/>
        <rFont val="Arial"/>
        <family val="0"/>
        <charset val="1"/>
      </rPr>
      <t xml:space="preserve">4K.webp</t>
    </r>
  </si>
  <si>
    <t xml:space="preserve">무선 메쉬 네트워킹 구성</t>
  </si>
  <si>
    <t xml:space="preserve">https://raw.githubusercontent.com/soulthread88/imgs/main/homepage/uno/%EB%AC%B4%EC%84%A0%20%EB%A9%94%EC%89%AC%20%ED%99%94%EC%9E%AC%20%EC%A0%95%EB%B3%B4%EC%88%98%EC%A7%91%EC%9E%A5%EC%B9%98%20%EA%B5%AC%EC%84%B1%EB%8F%84%204K.webp</t>
  </si>
  <si>
    <r>
      <rPr>
        <sz val="10"/>
        <rFont val="Arial"/>
        <family val="0"/>
        <charset val="1"/>
      </rPr>
      <t xml:space="preserve">mesh </t>
    </r>
    <r>
      <rPr>
        <sz val="10"/>
        <rFont val="Noto Sans CJK SC"/>
        <family val="2"/>
      </rPr>
      <t xml:space="preserve">정보수집장치</t>
    </r>
    <r>
      <rPr>
        <sz val="10"/>
        <rFont val="Arial"/>
        <family val="0"/>
        <charset val="1"/>
      </rPr>
      <t xml:space="preserve">.webp</t>
    </r>
  </si>
  <si>
    <t xml:space="preserve">정보수집장치</t>
  </si>
  <si>
    <t xml:space="preserve">https://raw.githubusercontent.com/soulthread88/imgs/main/homepage/uno/mesh%20%EC%A0%95%EB%B3%B4%EC%88%98%EC%A7%91%EC%9E%A5%EC%B9%98.webp</t>
  </si>
  <si>
    <r>
      <rPr>
        <sz val="10"/>
        <rFont val="Arial"/>
        <family val="0"/>
        <charset val="1"/>
      </rPr>
      <t xml:space="preserve">mesh </t>
    </r>
    <r>
      <rPr>
        <sz val="10"/>
        <rFont val="Noto Sans CJK SC"/>
        <family val="2"/>
      </rPr>
      <t xml:space="preserve">지휘관 센터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</si>
  <si>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지휘관 센터 </t>
    </r>
    <r>
      <rPr>
        <sz val="10"/>
        <rFont val="Arial"/>
        <family val="0"/>
        <charset val="1"/>
      </rPr>
      <t xml:space="preserve">(Commander Center)</t>
    </r>
  </si>
  <si>
    <t xml:space="preserve">https://raw.githubusercontent.com/soulthread88/imgs/main/homepage/uno/mesh%20%EC%A7%80%ED%9C%98%EA%B4%80%20%EC%84%BC%ED%84%B0.webp</t>
  </si>
  <si>
    <r>
      <rPr>
        <sz val="10"/>
        <rFont val="Arial"/>
        <family val="0"/>
        <charset val="1"/>
      </rPr>
      <t xml:space="preserve">mesh </t>
    </r>
    <r>
      <rPr>
        <sz val="10"/>
        <rFont val="Noto Sans CJK SC"/>
        <family val="2"/>
      </rPr>
      <t xml:space="preserve">통합관리 태블릿</t>
    </r>
    <r>
      <rPr>
        <sz val="10"/>
        <rFont val="Arial"/>
        <family val="0"/>
        <charset val="1"/>
      </rPr>
      <t xml:space="preserve">.webp</t>
    </r>
  </si>
  <si>
    <t xml:space="preserve">https://raw.githubusercontent.com/soulthread88/imgs/main/homepage/uno/mesh%20%ED%86%B5%ED%95%A9%EA%B4%80%EB%A6%AC%20%ED%83%9C%EB%B8%94%EB%A6%BF.webp</t>
  </si>
  <si>
    <t xml:space="preserve">hero_network-wrap</t>
  </si>
  <si>
    <r>
      <rPr>
        <sz val="10"/>
        <rFont val="Noto Sans CJK SC"/>
        <family val="2"/>
      </rPr>
      <t xml:space="preserve">지중 송전 전력구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한국전력</t>
    </r>
    <r>
      <rPr>
        <sz val="10"/>
        <rFont val="Arial"/>
        <family val="0"/>
        <charset val="1"/>
      </rPr>
      <t xml:space="preserve">)</t>
    </r>
  </si>
  <si>
    <t xml:space="preserve">pib-scada</t>
  </si>
  <si>
    <t xml:space="preserve">pib-dnc</t>
  </si>
  <si>
    <r>
      <rPr>
        <sz val="10"/>
        <rFont val="Arial"/>
        <family val="0"/>
        <charset val="1"/>
      </rPr>
      <t xml:space="preserve">DNC </t>
    </r>
    <r>
      <rPr>
        <sz val="10"/>
        <rFont val="Noto Sans CJK SC"/>
        <family val="2"/>
      </rPr>
      <t xml:space="preserve">디지털 노드 컨트롤러</t>
    </r>
  </si>
  <si>
    <t xml:space="preserve">fiber optic lhd 1.webp</t>
  </si>
  <si>
    <r>
      <rPr>
        <sz val="10"/>
        <rFont val="Arial"/>
        <family val="0"/>
        <charset val="1"/>
      </rPr>
      <t xml:space="preserve">DTS </t>
    </r>
    <r>
      <rPr>
        <sz val="10"/>
        <rFont val="Noto Sans CJK SC"/>
        <family val="2"/>
      </rPr>
      <t xml:space="preserve">감지기</t>
    </r>
  </si>
  <si>
    <t xml:space="preserve">https://raw.githubusercontent.com/soulthread88/imgs/main/homepage/uno/fiber%20optic%20lhd%201.webp</t>
  </si>
  <si>
    <r>
      <rPr>
        <sz val="10"/>
        <rFont val="Arial"/>
        <family val="0"/>
        <charset val="1"/>
      </rPr>
      <t xml:space="preserve">DNC </t>
    </r>
    <r>
      <rPr>
        <sz val="10"/>
        <rFont val="Noto Sans CJK SC"/>
        <family val="2"/>
      </rPr>
      <t xml:space="preserve">노드</t>
    </r>
  </si>
  <si>
    <t xml:space="preserve">네트워크 허브</t>
  </si>
  <si>
    <r>
      <rPr>
        <sz val="10"/>
        <rFont val="Arial"/>
        <family val="0"/>
        <charset val="1"/>
      </rPr>
      <t xml:space="preserve">SCADA </t>
    </r>
    <r>
      <rPr>
        <sz val="10"/>
        <rFont val="Noto Sans CJK SC"/>
        <family val="2"/>
      </rPr>
      <t xml:space="preserve">서버</t>
    </r>
  </si>
  <si>
    <t xml:space="preserve">원격 관제</t>
  </si>
  <si>
    <t xml:space="preserve">scada expander.png</t>
  </si>
  <si>
    <t xml:space="preserve">https://raw.githubusercontent.com/soulthread88/imgs/main/homepage/uno/scada%20expander.png</t>
  </si>
  <si>
    <t xml:space="preserve">scada expander - power substation.webp</t>
  </si>
  <si>
    <t xml:space="preserve">https://raw.githubusercontent.com/soulthread88/imgs/main/homepage/uno/scada%20expander%20-%20power%20substation.webp</t>
  </si>
  <si>
    <t xml:space="preserve">biz-scada-01</t>
  </si>
  <si>
    <r>
      <rPr>
        <sz val="10"/>
        <rFont val="Arial"/>
        <family val="0"/>
        <charset val="1"/>
      </rPr>
      <t xml:space="preserve">I/O </t>
    </r>
    <r>
      <rPr>
        <sz val="10"/>
        <rFont val="Noto Sans CJK SC"/>
        <family val="2"/>
      </rPr>
      <t xml:space="preserve">포인트 확장</t>
    </r>
  </si>
  <si>
    <t xml:space="preserve">biz-scada-02</t>
  </si>
  <si>
    <t xml:space="preserve">표준 통신 프로토콜</t>
  </si>
  <si>
    <t xml:space="preserve">biz-scada-03</t>
  </si>
  <si>
    <r>
      <rPr>
        <sz val="10"/>
        <rFont val="Arial"/>
        <family val="0"/>
        <charset val="1"/>
      </rPr>
      <t xml:space="preserve">GIS </t>
    </r>
    <r>
      <rPr>
        <sz val="10"/>
        <rFont val="Noto Sans CJK SC"/>
        <family val="2"/>
      </rPr>
      <t xml:space="preserve">통합 연동</t>
    </r>
  </si>
  <si>
    <t xml:space="preserve">biz-scada-04</t>
  </si>
  <si>
    <t xml:space="preserve">scada expander - interface with gis system.webp</t>
  </si>
  <si>
    <t xml:space="preserve">에너지 인프라 연동</t>
  </si>
  <si>
    <t xml:space="preserve">https://raw.githubusercontent.com/soulthread88/imgs/main/homepage/uno/scada%20expander%20-%20interface%20with%20gis%20system.webp</t>
  </si>
  <si>
    <t xml:space="preserve">biz-scada-05</t>
  </si>
  <si>
    <r>
      <rPr>
        <sz val="10"/>
        <rFont val="Arial"/>
        <family val="0"/>
        <charset val="1"/>
      </rPr>
      <t xml:space="preserve">Local </t>
    </r>
    <r>
      <rPr>
        <sz val="10"/>
        <rFont val="Noto Sans CJK SC"/>
        <family val="2"/>
      </rPr>
      <t xml:space="preserve">수신기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통합감시시설</t>
    </r>
    <r>
      <rPr>
        <sz val="10"/>
        <rFont val="Arial"/>
        <family val="0"/>
        <charset val="1"/>
      </rPr>
      <t xml:space="preserve">(IMS)-SCADA EXPANDER (Wired n Wireless)-SCADA System (KEPCO).webp</t>
    </r>
  </si>
  <si>
    <t xml:space="preserve">이중화 고신뢰 설계</t>
  </si>
  <si>
    <t xml:space="preserve">https://raw.githubusercontent.com/soulthread88/imgs/main/homepage/uno/Local%20%EC%88%98%EC%8B%A0%EA%B8%B0-%ED%86%B5%ED%95%A9%EA%B0%90%EC%8B%9C%EC%8B%9C%EC%84%A4%28IMS%29-SCADA%20EXPANDER%20%28Wired%20n%20Wireless%29-SCADA%20System%20%28KEPCO%29.webp</t>
  </si>
  <si>
    <t xml:space="preserve">biz-scada-06</t>
  </si>
  <si>
    <r>
      <rPr>
        <sz val="10"/>
        <rFont val="Arial"/>
        <family val="0"/>
        <charset val="1"/>
      </rPr>
      <t xml:space="preserve">DIN </t>
    </r>
    <r>
      <rPr>
        <sz val="10"/>
        <rFont val="Noto Sans CJK SC"/>
        <family val="2"/>
      </rPr>
      <t xml:space="preserve">레일 마운트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</si>
  <si>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(0.85)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</si>
  <si>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biz-app-01</t>
  </si>
  <si>
    <r>
      <rPr>
        <sz val="10"/>
        <rFont val="Noto Sans CJK SC"/>
        <family val="2"/>
      </rPr>
      <t xml:space="preserve">디지털 변전소</t>
    </r>
    <r>
      <rPr>
        <sz val="10"/>
        <rFont val="Arial"/>
        <family val="0"/>
        <charset val="1"/>
      </rPr>
      <t xml:space="preserve">.webp</t>
    </r>
  </si>
  <si>
    <t xml:space="preserve">전력 변전소</t>
  </si>
  <si>
    <t xml:space="preserve">https://raw.githubusercontent.com/soulthread88/imgs/main/homepage/uno/%EB%94%94%EC%A7%80%ED%84%B8%20%EB%B3%80%EC%A0%84%EC%86%8C.webp</t>
  </si>
  <si>
    <t xml:space="preserve">biz-app-02</t>
  </si>
  <si>
    <t xml:space="preserve">소방 통합감시</t>
  </si>
  <si>
    <t xml:space="preserve">biz-app-03</t>
  </si>
  <si>
    <t xml:space="preserve">scada expander - water pipeline monitoring n control.webp</t>
  </si>
  <si>
    <t xml:space="preserve">상하수도 시설</t>
  </si>
  <si>
    <t xml:space="preserve">https://raw.githubusercontent.com/soulthread88/imgs/main/homepage/uno/scada%20expander%20-%20water%20pipeline%20monitoring%20n%20control.webp</t>
  </si>
  <si>
    <t xml:space="preserve">biz-app-04</t>
  </si>
  <si>
    <t xml:space="preserve">산업 플랜트</t>
  </si>
  <si>
    <r>
      <rPr>
        <sz val="10"/>
        <rFont val="Noto Sans CJK SC"/>
        <family val="2"/>
      </rPr>
      <t xml:space="preserve">디지털 변전소</t>
    </r>
    <r>
      <rPr>
        <sz val="10"/>
        <rFont val="Arial"/>
        <family val="0"/>
        <charset val="1"/>
      </rPr>
      <t xml:space="preserve">.jpg</t>
    </r>
  </si>
  <si>
    <t xml:space="preserve">https://raw.githubusercontent.com/soulthread88/imgs/main/homepage/uno/%EB%94%94%EC%A7%80%ED%84%B8%20%EB%B3%80%EC%A0%84%EC%86%8C.jpg</t>
  </si>
  <si>
    <r>
      <rPr>
        <sz val="10"/>
        <rFont val="Arial"/>
        <family val="0"/>
        <charset val="1"/>
      </rPr>
      <t xml:space="preserve">DNC </t>
    </r>
    <r>
      <rPr>
        <sz val="10"/>
        <rFont val="Noto Sans CJK SC"/>
        <family val="2"/>
      </rPr>
      <t xml:space="preserve">설치 현장 — </t>
    </r>
    <r>
      <rPr>
        <sz val="10"/>
        <rFont val="Arial"/>
        <family val="0"/>
        <charset val="1"/>
      </rPr>
      <t xml:space="preserve">L2 Ring </t>
    </r>
    <r>
      <rPr>
        <sz val="10"/>
        <rFont val="Noto Sans CJK SC"/>
        <family val="2"/>
      </rPr>
      <t xml:space="preserve">스위치 수납함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</si>
  <si>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(0.8)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같은 페이지에서 중복 사용</t>
    </r>
  </si>
  <si>
    <t xml:space="preserve">DNC.webp</t>
  </si>
  <si>
    <r>
      <rPr>
        <sz val="10"/>
        <rFont val="Arial"/>
        <family val="0"/>
        <charset val="1"/>
      </rPr>
      <t xml:space="preserve">DNC </t>
    </r>
    <r>
      <rPr>
        <sz val="10"/>
        <rFont val="Noto Sans CJK SC"/>
        <family val="2"/>
      </rPr>
      <t xml:space="preserve">제품 사진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</si>
  <si>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(0.8)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</si>
  <si>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https://raw.githubusercontent.com/soulthread88/imgs/main/homepage/uno/DNC.webp</t>
  </si>
  <si>
    <r>
      <rPr>
        <sz val="10"/>
        <rFont val="Arial"/>
        <family val="0"/>
        <charset val="1"/>
      </rPr>
      <t xml:space="preserve">DNC </t>
    </r>
    <r>
      <rPr>
        <sz val="10"/>
        <rFont val="Noto Sans CJK SC"/>
        <family val="2"/>
      </rPr>
      <t xml:space="preserve">외형치수 도면</t>
    </r>
  </si>
  <si>
    <r>
      <rPr>
        <sz val="10"/>
        <rFont val="Arial"/>
        <family val="0"/>
        <charset val="1"/>
      </rPr>
      <t xml:space="preserve">DNC L2 Ring </t>
    </r>
    <r>
      <rPr>
        <sz val="10"/>
        <rFont val="Noto Sans CJK SC"/>
        <family val="2"/>
      </rPr>
      <t xml:space="preserve">스위치 수납함</t>
    </r>
    <r>
      <rPr>
        <sz val="10"/>
        <rFont val="Arial"/>
        <family val="0"/>
        <charset val="1"/>
      </rPr>
      <t xml:space="preserve">.png</t>
    </r>
  </si>
  <si>
    <t xml:space="preserve">https://raw.githubusercontent.com/soulthread88/imgs/main/homepage/uno/DNC%20L2%20Ring%20%EC%8A%A4%EC%9C%84%EC%B9%98%20%EC%88%98%EB%82%A9%ED%95%A8.png</t>
  </si>
  <si>
    <r>
      <rPr>
        <sz val="10"/>
        <rFont val="Noto Sans CJK SC"/>
        <family val="2"/>
      </rPr>
      <t xml:space="preserve">지중송전 </t>
    </r>
    <r>
      <rPr>
        <sz val="10"/>
        <rFont val="Arial"/>
        <family val="0"/>
        <charset val="1"/>
      </rPr>
      <t xml:space="preserve">by kepco.jpg</t>
    </r>
  </si>
  <si>
    <t xml:space="preserve">https://raw.githubusercontent.com/soulthread88/imgs/main/homepage/uno/%EC%A7%80%EC%A4%91%EC%86%A1%EC%A0%84%20by%20kepco.jpg</t>
  </si>
  <si>
    <t xml:space="preserve">base station banner.webp</t>
  </si>
  <si>
    <t xml:space="preserve">건설시공 관리</t>
  </si>
  <si>
    <t xml:space="preserve">https://raw.githubusercontent.com/soulthread88/imgs/main/homepage/uno/base%20station%20banner.webp</t>
  </si>
  <si>
    <t xml:space="preserve">fd-1</t>
  </si>
  <si>
    <t xml:space="preserve">fd-2</t>
  </si>
  <si>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형 복합식 수신기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</si>
  <si>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(0.61)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</si>
  <si>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t xml:space="preserve">https://raw.githubusercontent.com/soulthread88/imgs/main/homepage/uno/P%ED%98%95%20%EB%B3%B5%ED%95%A9%EC%8B%9D%20%EC%88%98%EC%8B%A0%EA%B8%B0.webp</t>
  </si>
  <si>
    <t xml:space="preserve">fd-3</t>
  </si>
  <si>
    <r>
      <rPr>
        <sz val="10"/>
        <rFont val="Noto Sans CJK SC"/>
        <family val="2"/>
      </rPr>
      <t xml:space="preserve">광케이블식 차동식분포형감지기 감</t>
    </r>
    <r>
      <rPr>
        <sz val="10"/>
        <rFont val="Arial"/>
        <family val="0"/>
        <charset val="1"/>
      </rPr>
      <t xml:space="preserve">24-74</t>
    </r>
  </si>
  <si>
    <t xml:space="preserve">img-bb</t>
  </si>
  <si>
    <t xml:space="preserve">smart construction blackbox.webp</t>
  </si>
  <si>
    <t xml:space="preserve">https://raw.githubusercontent.com/soulthread88/imgs/main/homepage/uno/smart%20construction%20blackbox.webp</t>
  </si>
  <si>
    <t xml:space="preserve">bb-2</t>
  </si>
  <si>
    <r>
      <rPr>
        <sz val="10"/>
        <rFont val="Arial"/>
        <family val="0"/>
        <charset val="1"/>
      </rPr>
      <t xml:space="preserve">blackbox - </t>
    </r>
    <r>
      <rPr>
        <sz val="10"/>
        <rFont val="Noto Sans CJK SC"/>
        <family val="2"/>
      </rPr>
      <t xml:space="preserve">방위각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고도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거리 동시 측정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</si>
  <si>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방위각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거리 측정</t>
    </r>
  </si>
  <si>
    <t xml:space="preserve">https://raw.githubusercontent.com/soulthread88/imgs/main/homepage/uno/blackbox%20-%20%EB%B0%A9%EC%9C%84%EA%B0%81%20%C2%B7%20%EA%B3%A0%EB%8F%84%20%C2%B7%20%EA%B1%B0%EB%A6%AC%20%EB%8F%99%EC%8B%9C%20%EC%B8%A1%EC%A0%95.webp</t>
  </si>
  <si>
    <t xml:space="preserve">bb-3</t>
  </si>
  <si>
    <r>
      <rPr>
        <sz val="10"/>
        <rFont val="Arial"/>
        <family val="0"/>
        <charset val="1"/>
      </rPr>
      <t xml:space="preserve">blackbox - </t>
    </r>
    <r>
      <rPr>
        <sz val="10"/>
        <rFont val="Noto Sans CJK SC"/>
        <family val="2"/>
      </rPr>
      <t xml:space="preserve">조작 방지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구간 암호화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</si>
  <si>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조작 방지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암호화</t>
    </r>
  </si>
  <si>
    <t xml:space="preserve">https://raw.githubusercontent.com/soulthread88/imgs/main/homepage/uno/blackbox%20-%20%EC%A1%B0%EC%9E%91%20%EB%B0%A9%EC%A7%80%20%C2%B7%20%EA%B5%AC%EA%B0%84%20%EC%95%94%ED%98%B8%ED%99%94.webp</t>
  </si>
  <si>
    <t xml:space="preserve">bb-4</t>
  </si>
  <si>
    <r>
      <rPr>
        <sz val="10"/>
        <rFont val="Arial"/>
        <family val="0"/>
        <charset val="1"/>
      </rPr>
      <t xml:space="preserve">Blackbox - </t>
    </r>
    <r>
      <rPr>
        <sz val="10"/>
        <rFont val="Noto Sans CJK SC"/>
        <family val="2"/>
      </rPr>
      <t xml:space="preserve">실시간 </t>
    </r>
    <r>
      <rPr>
        <sz val="10"/>
        <rFont val="Arial"/>
        <family val="0"/>
        <charset val="1"/>
      </rPr>
      <t xml:space="preserve">GIS 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원격 모니터링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</si>
  <si>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실시간 </t>
    </r>
    <r>
      <rPr>
        <sz val="10"/>
        <rFont val="Arial"/>
        <family val="0"/>
        <charset val="1"/>
      </rPr>
      <t xml:space="preserve">GIS </t>
    </r>
    <r>
      <rPr>
        <sz val="10"/>
        <rFont val="Noto Sans CJK SC"/>
        <family val="2"/>
      </rPr>
      <t xml:space="preserve">연동</t>
    </r>
  </si>
  <si>
    <t xml:space="preserve">https://raw.githubusercontent.com/soulthread88/imgs/main/homepage/uno/Blackbox%20-%20%EC%8B%A4%EC%8B%9C%EA%B0%84%20GIS%20%EC%97%B0%EB%8F%99%2C%20%EC%9B%90%EA%B2%A9%20%EB%AA%A8%EB%8B%88%ED%84%B0%EB%A7%81.webp</t>
  </si>
  <si>
    <t xml:space="preserve">bb-5</t>
  </si>
  <si>
    <r>
      <rPr>
        <sz val="10"/>
        <rFont val="Arial"/>
        <family val="0"/>
        <charset val="1"/>
      </rPr>
      <t xml:space="preserve">Blackbox - </t>
    </r>
    <r>
      <rPr>
        <sz val="10"/>
        <rFont val="Noto Sans CJK SC"/>
        <family val="2"/>
      </rPr>
      <t xml:space="preserve">전용 앱</t>
    </r>
    <r>
      <rPr>
        <sz val="10"/>
        <rFont val="Arial"/>
        <family val="0"/>
        <charset val="1"/>
      </rPr>
      <t xml:space="preserve">(BLE, LTE) </t>
    </r>
    <r>
      <rPr>
        <sz val="10"/>
        <rFont val="Noto Sans CJK SC"/>
        <family val="2"/>
      </rPr>
      <t xml:space="preserve">구성도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</si>
  <si>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전용 </t>
    </r>
    <r>
      <rPr>
        <sz val="10"/>
        <rFont val="Arial"/>
        <family val="0"/>
        <charset val="1"/>
      </rPr>
      <t xml:space="preserve">APP (BLE·LTE)</t>
    </r>
  </si>
  <si>
    <t xml:space="preserve">https://raw.githubusercontent.com/soulthread88/imgs/main/homepage/uno/Blackbox%20-%20%EC%A0%84%EC%9A%A9%20%EC%95%B1%28BLE%2C%20LTE%29%20%EA%B5%AC%EC%84%B1%EB%8F%84.webp</t>
  </si>
  <si>
    <t xml:space="preserve">img-sys</t>
  </si>
  <si>
    <r>
      <rPr>
        <sz val="10"/>
        <rFont val="Noto Sans CJK SC"/>
        <family val="2"/>
      </rPr>
      <t xml:space="preserve">블랙박스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위성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</si>
  <si>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스마트폰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전용 </t>
    </r>
    <r>
      <rPr>
        <sz val="10"/>
        <rFont val="Arial"/>
        <family val="0"/>
        <charset val="1"/>
      </rPr>
      <t xml:space="preserve">APP</t>
    </r>
  </si>
  <si>
    <t xml:space="preserve">https://raw.githubusercontent.com/soulthread88/imgs/main/homepage/uno/%EB%B8%94%EB%9E%99%EB%B0%95%EC%8A%A4%2B%EC%9C%84%EC%84%B1.webp</t>
  </si>
  <si>
    <t xml:space="preserve">sys-2</t>
  </si>
  <si>
    <r>
      <rPr>
        <sz val="10"/>
        <rFont val="Arial"/>
        <family val="0"/>
        <charset val="1"/>
      </rPr>
      <t xml:space="preserve">Blackbox - </t>
    </r>
    <r>
      <rPr>
        <sz val="10"/>
        <rFont val="Noto Sans CJK SC"/>
        <family val="2"/>
      </rPr>
      <t xml:space="preserve">블랙박스</t>
    </r>
    <r>
      <rPr>
        <sz val="10"/>
        <rFont val="Arial"/>
        <family val="0"/>
        <charset val="1"/>
      </rPr>
      <t xml:space="preserve">(dongle) </t>
    </r>
    <r>
      <rPr>
        <sz val="10"/>
        <rFont val="Noto Sans CJK SC"/>
        <family val="2"/>
      </rPr>
      <t xml:space="preserve">구성도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</si>
  <si>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블랙박스 </t>
    </r>
    <r>
      <rPr>
        <sz val="10"/>
        <rFont val="Arial"/>
        <family val="0"/>
        <charset val="1"/>
      </rPr>
      <t xml:space="preserve">Dongle</t>
    </r>
  </si>
  <si>
    <t xml:space="preserve">https://raw.githubusercontent.com/soulthread88/imgs/main/homepage/uno/Blackbox%20-%20%EB%B8%94%EB%9E%99%EB%B0%95%EC%8A%A4%28dongle%29%20%EA%B5%AC%EC%84%B1%EB%8F%84.webp</t>
  </si>
  <si>
    <t xml:space="preserve">sys-3</t>
  </si>
  <si>
    <r>
      <rPr>
        <sz val="10"/>
        <rFont val="Arial"/>
        <family val="0"/>
        <charset val="1"/>
      </rPr>
      <t xml:space="preserve">blackbox - </t>
    </r>
    <r>
      <rPr>
        <sz val="10"/>
        <rFont val="Noto Sans CJK SC"/>
        <family val="2"/>
      </rPr>
      <t xml:space="preserve">베이스 스테이션과의 구성도</t>
    </r>
    <r>
      <rPr>
        <sz val="10"/>
        <rFont val="Arial"/>
        <family val="0"/>
        <charset val="1"/>
      </rPr>
      <t xml:space="preserve">.webp</t>
    </r>
  </si>
  <si>
    <t xml:space="preserve">베이스 스테이션</t>
  </si>
  <si>
    <t xml:space="preserve">https://raw.githubusercontent.com/soulthread88/imgs/main/homepage/uno/blackbox%20-%20%EB%B2%A0%EC%9D%B4%EC%8A%A4%20%EC%8A%A4%ED%85%8C%EC%9D%B4%EC%85%98%EA%B3%BC%EC%9D%98%20%EA%B5%AC%EC%84%B1%EB%8F%84.webp</t>
  </si>
  <si>
    <t xml:space="preserve">sys-4</t>
  </si>
  <si>
    <t xml:space="preserve">blackbox - gis.webp</t>
  </si>
  <si>
    <r>
      <rPr>
        <sz val="10"/>
        <rFont val="Arial"/>
        <family val="0"/>
        <charset val="1"/>
      </rPr>
      <t xml:space="preserve">GIS </t>
    </r>
    <r>
      <rPr>
        <sz val="10"/>
        <rFont val="Noto Sans CJK SC"/>
        <family val="2"/>
      </rPr>
      <t xml:space="preserve">지리정보시스템</t>
    </r>
  </si>
  <si>
    <t xml:space="preserve">https://raw.githubusercontent.com/soulthread88/imgs/main/homepage/uno/blackbox%20-%20gis.webp</t>
  </si>
  <si>
    <t xml:space="preserve">sys-5</t>
  </si>
  <si>
    <r>
      <rPr>
        <sz val="10"/>
        <rFont val="Arial"/>
        <family val="0"/>
        <charset val="1"/>
      </rPr>
      <t xml:space="preserve">blackbox - </t>
    </r>
    <r>
      <rPr>
        <sz val="10"/>
        <rFont val="Noto Sans CJK SC"/>
        <family val="2"/>
      </rPr>
      <t xml:space="preserve">중앙관제 서버</t>
    </r>
    <r>
      <rPr>
        <sz val="10"/>
        <rFont val="Arial"/>
        <family val="0"/>
        <charset val="1"/>
      </rPr>
      <t xml:space="preserve">.webp</t>
    </r>
  </si>
  <si>
    <t xml:space="preserve">중앙관제 서버</t>
  </si>
  <si>
    <t xml:space="preserve">https://raw.githubusercontent.com/soulthread88/imgs/main/homepage/uno/blackbox%20-%20%EC%A4%91%EC%95%99%EA%B4%80%EC%A0%9C%20%EC%84%9C%EB%B2%84.webp</t>
  </si>
  <si>
    <t xml:space="preserve">img-bs</t>
  </si>
  <si>
    <t xml:space="preserve">base station overview.webp</t>
  </si>
  <si>
    <t xml:space="preserve">https://raw.githubusercontent.com/soulthread88/imgs/main/homepage/uno/base%20station%20overview.webp</t>
  </si>
  <si>
    <t xml:space="preserve">bs-2</t>
  </si>
  <si>
    <t xml:space="preserve">base station - interface with central control server.webp</t>
  </si>
  <si>
    <t xml:space="preserve">중앙관제 서버 연동</t>
  </si>
  <si>
    <t xml:space="preserve">https://raw.githubusercontent.com/soulthread88/imgs/main/homepage/uno/base%20station%20-%20interface%20with%20central%20control%20server.webp</t>
  </si>
  <si>
    <t xml:space="preserve">bs-3</t>
  </si>
  <si>
    <t xml:space="preserve">base station - guarantee of data integrity.webp</t>
  </si>
  <si>
    <t xml:space="preserve">데이터 무결성 보장</t>
  </si>
  <si>
    <t xml:space="preserve">https://raw.githubusercontent.com/soulthread88/imgs/main/homepage/uno/base%20station%20-%20guarantee%20of%20data%20integrity.webp</t>
  </si>
  <si>
    <t xml:space="preserve">fci-1</t>
  </si>
  <si>
    <t xml:space="preserve">base station - proactive measures to prevent construction defects.webp</t>
  </si>
  <si>
    <t xml:space="preserve">부실공사 사전 예방</t>
  </si>
  <si>
    <t xml:space="preserve">https://raw.githubusercontent.com/soulthread88/imgs/main/homepage/uno/base%20station%20-%20proactive%20measures%20to%20prevent%20construction%20defects.webp</t>
  </si>
  <si>
    <t xml:space="preserve">fci-2</t>
  </si>
  <si>
    <t xml:space="preserve">base station - digitalization of construction history.webp</t>
  </si>
  <si>
    <t xml:space="preserve">시공 이력 디지털화</t>
  </si>
  <si>
    <t xml:space="preserve">https://raw.githubusercontent.com/soulthread88/imgs/main/homepage/uno/base%20station%20-%20digitalization%20of%20construction%20history.webp</t>
  </si>
  <si>
    <t xml:space="preserve">fci-3</t>
  </si>
  <si>
    <r>
      <rPr>
        <sz val="10"/>
        <rFont val="Arial"/>
        <family val="0"/>
        <charset val="1"/>
      </rPr>
      <t xml:space="preserve">base system - </t>
    </r>
    <r>
      <rPr>
        <sz val="10"/>
        <rFont val="Noto Sans CJK SC"/>
        <family val="2"/>
      </rPr>
      <t xml:space="preserve">통합관제시스템</t>
    </r>
    <r>
      <rPr>
        <sz val="10"/>
        <rFont val="Arial"/>
        <family val="0"/>
        <charset val="1"/>
      </rPr>
      <t xml:space="preserve">(ims).webp</t>
    </r>
  </si>
  <si>
    <r>
      <rPr>
        <sz val="10"/>
        <rFont val="Noto Sans CJK SC"/>
        <family val="2"/>
      </rPr>
      <t xml:space="preserve">통합관제시스템 </t>
    </r>
    <r>
      <rPr>
        <sz val="10"/>
        <rFont val="Arial"/>
        <family val="0"/>
        <charset val="1"/>
      </rPr>
      <t xml:space="preserve">IMS</t>
    </r>
  </si>
  <si>
    <t xml:space="preserve">https://raw.githubusercontent.com/soulthread88/imgs/main/homepage/uno/base%20system%20-%20%ED%86%B5%ED%95%A9%EA%B4%80%EC%A0%9C%EC%8B%9C%EC%8A%A4%ED%85%9C%28ims%29.webp</t>
  </si>
  <si>
    <t xml:space="preserve">fci-4</t>
  </si>
  <si>
    <t xml:space="preserve">gis control server.webp</t>
  </si>
  <si>
    <r>
      <rPr>
        <sz val="10"/>
        <rFont val="Arial"/>
        <family val="0"/>
        <charset val="1"/>
      </rPr>
      <t xml:space="preserve">GIS </t>
    </r>
    <r>
      <rPr>
        <sz val="10"/>
        <rFont val="Noto Sans CJK SC"/>
        <family val="2"/>
      </rPr>
      <t xml:space="preserve">기반 원격 관제</t>
    </r>
  </si>
  <si>
    <t xml:space="preserve">https://raw.githubusercontent.com/soulthread88/imgs/main/homepage/uno/gis%20control%20server.webp</t>
  </si>
  <si>
    <t xml:space="preserve">fci-5</t>
  </si>
  <si>
    <t xml:space="preserve">base system - applications to other industries.webp</t>
  </si>
  <si>
    <t xml:space="preserve">타 분야 확장 적용</t>
  </si>
  <si>
    <t xml:space="preserve">https://raw.githubusercontent.com/soulthread88/imgs/main/homepage/uno/base%20system%20-%20applications%20to%20other%20industries.webp</t>
  </si>
  <si>
    <t xml:space="preserve">fci-6</t>
  </si>
  <si>
    <r>
      <rPr>
        <sz val="10"/>
        <rFont val="Noto Sans CJK SC"/>
        <family val="2"/>
      </rPr>
      <t xml:space="preserve">건설 현장 </t>
    </r>
    <r>
      <rPr>
        <sz val="10"/>
        <rFont val="Arial"/>
        <family val="0"/>
        <charset val="1"/>
      </rPr>
      <t xml:space="preserve">base system </t>
    </r>
    <r>
      <rPr>
        <sz val="10"/>
        <rFont val="Noto Sans CJK SC"/>
        <family val="2"/>
      </rPr>
      <t xml:space="preserve">핵심 개념도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</si>
  <si>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시장 규모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사업성</t>
    </r>
  </si>
  <si>
    <t xml:space="preserve">https://raw.githubusercontent.com/soulthread88/imgs/main/homepage/uno/%EA%B1%B4%EC%84%A4%20%ED%98%84%EC%9E%A5%20base%20system%20%ED%95%B5%EC%8B%AC%20%EA%B0%9C%EB%85%90%EB%8F%84.webp</t>
  </si>
  <si>
    <r>
      <rPr>
        <sz val="10"/>
        <rFont val="Noto Sans CJK SC"/>
        <family val="2"/>
      </rPr>
      <t xml:space="preserve">스마트 건설감리시스템 구성 — 스마트폰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전용 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블랙박스 → </t>
    </r>
    <r>
      <rPr>
        <sz val="10"/>
        <rFont val="Arial"/>
        <family val="0"/>
        <charset val="1"/>
      </rPr>
      <t xml:space="preserve">RF/LTE → </t>
    </r>
    <r>
      <rPr>
        <sz val="10"/>
        <rFont val="Noto Sans CJK SC"/>
        <family val="2"/>
      </rPr>
      <t xml:space="preserve">베이스 스테이션 → 중앙관제 서버</t>
    </r>
    <r>
      <rPr>
        <sz val="10"/>
        <rFont val="Arial"/>
        <family val="0"/>
        <charset val="1"/>
      </rPr>
      <t xml:space="preserve">(Google Map </t>
    </r>
    <r>
      <rPr>
        <sz val="10"/>
        <rFont val="Noto Sans CJK SC"/>
        <family val="2"/>
      </rPr>
      <t xml:space="preserve">검색 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위치 정보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검색 정보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</si>
  <si>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실시간 </t>
    </r>
    <r>
      <rPr>
        <sz val="10"/>
        <rFont val="Arial"/>
        <family val="0"/>
        <charset val="1"/>
      </rPr>
      <t xml:space="preserve">GIS 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원격 모니터링 — 시공 현장 촬영 → 클라우드 서버</t>
    </r>
    <r>
      <rPr>
        <sz val="10"/>
        <rFont val="Arial"/>
        <family val="0"/>
        <charset val="1"/>
      </rPr>
      <t xml:space="preserve">(Google GIS) → </t>
    </r>
    <r>
      <rPr>
        <sz val="10"/>
        <rFont val="Noto Sans CJK SC"/>
        <family val="2"/>
      </rPr>
      <t xml:space="preserve">관리자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본사 원격 확인과 자동 보고서</t>
    </r>
  </si>
  <si>
    <t xml:space="preserve">uno smart construction supervision benefits.webp</t>
  </si>
  <si>
    <r>
      <rPr>
        <sz val="10"/>
        <rFont val="Noto Sans CJK SC"/>
        <family val="2"/>
      </rPr>
      <t xml:space="preserve">현장 문제점 → 체계적인 시공관리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효율적인 이력관리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시공 디지털 정보화 → 부실 공사 예방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양질 시공 유도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빅데이터 활용</t>
    </r>
  </si>
  <si>
    <t xml:space="preserve">https://raw.githubusercontent.com/soulthread88/imgs/main/homepage/uno/uno%20smart%20construction%20supervision%20benefits.webp</t>
  </si>
  <si>
    <t xml:space="preserve">uno facp with fiber optic lhd 4.png</t>
  </si>
  <si>
    <t xml:space="preserve">https://raw.githubusercontent.com/soulthread88/imgs/main/homepage/uno/uno%20facp%20with%20fiber%20optic%20lhd%204.png</t>
  </si>
  <si>
    <r>
      <rPr>
        <sz val="10"/>
        <rFont val="Noto Sans CJK SC"/>
        <family val="2"/>
      </rPr>
      <t xml:space="preserve">스마트 건설감리시스템 구성 — 스마트폰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전용 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블랙박스 → </t>
    </r>
    <r>
      <rPr>
        <sz val="10"/>
        <rFont val="Arial"/>
        <family val="0"/>
        <charset val="1"/>
      </rPr>
      <t xml:space="preserve">RF/LTE → </t>
    </r>
    <r>
      <rPr>
        <sz val="10"/>
        <rFont val="Noto Sans CJK SC"/>
        <family val="2"/>
      </rPr>
      <t xml:space="preserve">베이스 스테이션 → 중앙관제 서버</t>
    </r>
  </si>
  <si>
    <r>
      <rPr>
        <sz val="10"/>
        <rFont val="Noto Sans CJK SC"/>
        <family val="2"/>
      </rPr>
      <t xml:space="preserve">실시간 </t>
    </r>
    <r>
      <rPr>
        <sz val="10"/>
        <rFont val="Arial"/>
        <family val="0"/>
        <charset val="1"/>
      </rPr>
      <t xml:space="preserve">GIS </t>
    </r>
    <r>
      <rPr>
        <sz val="10"/>
        <rFont val="Noto Sans CJK SC"/>
        <family val="2"/>
      </rPr>
      <t xml:space="preserve">연동 원격 모니터링 구성도 </t>
    </r>
    <r>
      <rPr>
        <sz val="10"/>
        <rFont val="Arial"/>
        <family val="0"/>
        <charset val="1"/>
      </rPr>
      <t xml:space="preserve">4K.webp</t>
    </r>
  </si>
  <si>
    <t xml:space="preserve">https://raw.githubusercontent.com/soulthread88/imgs/main/homepage/uno/%EC%8B%A4%EC%8B%9C%EA%B0%84%20GIS%20%EC%97%B0%EB%8F%99%20%EC%9B%90%EA%B2%A9%20%EB%AA%A8%EB%8B%88%ED%84%B0%EB%A7%81%20%EA%B5%AC%EC%84%B1%EB%8F%84%204K.webp</t>
  </si>
  <si>
    <t xml:space="preserve">dg-2</t>
  </si>
  <si>
    <t xml:space="preserve">도입 효과</t>
  </si>
  <si>
    <r>
      <rPr>
        <sz val="10"/>
        <rFont val="Arial"/>
        <family val="0"/>
        <charset val="1"/>
      </rPr>
      <t xml:space="preserve">sup </t>
    </r>
    <r>
      <rPr>
        <sz val="10"/>
        <rFont val="Noto Sans CJK SC"/>
        <family val="2"/>
      </rPr>
      <t xml:space="preserve">스마트폰 전용 앱</t>
    </r>
    <r>
      <rPr>
        <sz val="10"/>
        <rFont val="Arial"/>
        <family val="0"/>
        <charset val="1"/>
      </rPr>
      <t xml:space="preserve">.webp</t>
    </r>
  </si>
  <si>
    <t xml:space="preserve">https://raw.githubusercontent.com/soulthread88/imgs/main/homepage/uno/sup%20%EC%8A%A4%EB%A7%88%ED%8A%B8%ED%8F%B0%20%EC%A0%84%EC%9A%A9%20%EC%95%B1.webp</t>
  </si>
  <si>
    <r>
      <rPr>
        <sz val="10"/>
        <rFont val="Arial"/>
        <family val="0"/>
        <charset val="1"/>
      </rPr>
      <t xml:space="preserve">sup </t>
    </r>
    <r>
      <rPr>
        <sz val="10"/>
        <rFont val="Noto Sans CJK SC"/>
        <family val="2"/>
      </rPr>
      <t xml:space="preserve">블랙박스</t>
    </r>
    <r>
      <rPr>
        <sz val="10"/>
        <rFont val="Arial"/>
        <family val="0"/>
        <charset val="1"/>
      </rPr>
      <t xml:space="preserve">.webp</t>
    </r>
  </si>
  <si>
    <t xml:space="preserve">블랙박스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</si>
  <si>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(0.67)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</si>
  <si>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https://raw.githubusercontent.com/soulthread88/imgs/main/homepage/uno/sup%20%EB%B8%94%EB%9E%99%EB%B0%95%EC%8A%A4.webp</t>
  </si>
  <si>
    <r>
      <rPr>
        <sz val="10"/>
        <rFont val="Arial"/>
        <family val="0"/>
        <charset val="1"/>
      </rPr>
      <t xml:space="preserve">sup </t>
    </r>
    <r>
      <rPr>
        <sz val="10"/>
        <rFont val="Noto Sans CJK SC"/>
        <family val="2"/>
      </rPr>
      <t xml:space="preserve">베이스 스테이션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</si>
  <si>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(0.43)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</si>
  <si>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https://raw.githubusercontent.com/soulthread88/imgs/main/homepage/uno/sup%20%EB%B2%A0%EC%9D%B4%EC%8A%A4%20%EC%8A%A4%ED%85%8C%EC%9D%B4%EC%85%98.webp</t>
  </si>
  <si>
    <r>
      <rPr>
        <sz val="10"/>
        <rFont val="Arial"/>
        <family val="0"/>
        <charset val="1"/>
      </rPr>
      <t xml:space="preserve">sup </t>
    </r>
    <r>
      <rPr>
        <sz val="10"/>
        <rFont val="Noto Sans CJK SC"/>
        <family val="2"/>
      </rPr>
      <t xml:space="preserve">중앙관제 서버</t>
    </r>
    <r>
      <rPr>
        <sz val="10"/>
        <rFont val="Arial"/>
        <family val="0"/>
        <charset val="1"/>
      </rPr>
      <t xml:space="preserve">.webp</t>
    </r>
  </si>
  <si>
    <t xml:space="preserve">https://raw.githubusercontent.com/soulthread88/imgs/main/homepage/uno/sup%20%EC%A4%91%EC%95%99%EA%B4%80%EC%A0%9C%20%EC%84%9C%EB%B2%84.webp</t>
  </si>
  <si>
    <t xml:space="preserve">스마트 건설 블랙박스 현장 이미지</t>
  </si>
  <si>
    <t xml:space="preserve">스마트 건설 블랙박스 제품 이미지</t>
  </si>
  <si>
    <r>
      <rPr>
        <sz val="10"/>
        <rFont val="Arial"/>
        <family val="0"/>
        <charset val="1"/>
      </rPr>
      <t xml:space="preserve">smart </t>
    </r>
    <r>
      <rPr>
        <sz val="10"/>
        <rFont val="Noto Sans CJK SC"/>
        <family val="2"/>
      </rPr>
      <t xml:space="preserve">건설 </t>
    </r>
    <r>
      <rPr>
        <sz val="10"/>
        <rFont val="Arial"/>
        <family val="0"/>
        <charset val="1"/>
      </rPr>
      <t xml:space="preserve">blackbox.webp</t>
    </r>
  </si>
  <si>
    <r>
      <rPr>
        <sz val="10"/>
        <rFont val="Noto Sans CJK SC"/>
        <family val="2"/>
      </rPr>
      <t xml:space="preserve">제품 인증서 </t>
    </r>
    <r>
      <rPr>
        <sz val="10"/>
        <rFont val="Arial"/>
        <family val="0"/>
        <charset val="1"/>
      </rPr>
      <t xml:space="preserve">1</t>
    </r>
  </si>
  <si>
    <t xml:space="preserve">https://raw.githubusercontent.com/soulthread88/imgs/main/homepage/uno/smart%20%EA%B1%B4%EC%84%A4%20blackbox.webp</t>
  </si>
  <si>
    <r>
      <rPr>
        <sz val="10"/>
        <rFont val="Noto Sans CJK SC"/>
        <family val="2"/>
      </rPr>
      <t xml:space="preserve">납품 실적 이미지 </t>
    </r>
    <r>
      <rPr>
        <sz val="10"/>
        <rFont val="Arial"/>
        <family val="0"/>
        <charset val="1"/>
      </rPr>
      <t xml:space="preserve">1</t>
    </r>
  </si>
  <si>
    <t xml:space="preserve">bb2.webp</t>
  </si>
  <si>
    <r>
      <rPr>
        <sz val="10"/>
        <rFont val="Noto Sans CJK SC"/>
        <family val="2"/>
      </rPr>
      <t xml:space="preserve">납품 실적 이미지 </t>
    </r>
    <r>
      <rPr>
        <sz val="10"/>
        <rFont val="Arial"/>
        <family val="0"/>
        <charset val="1"/>
      </rPr>
      <t xml:space="preserve">2</t>
    </r>
  </si>
  <si>
    <t xml:space="preserve">https://raw.githubusercontent.com/soulthread88/imgs/main/homepage/uno/bb2.webp</t>
  </si>
  <si>
    <t xml:space="preserve">bb4.webp</t>
  </si>
  <si>
    <r>
      <rPr>
        <sz val="10"/>
        <rFont val="Noto Sans CJK SC"/>
        <family val="2"/>
      </rPr>
      <t xml:space="preserve">납품 실적 이미지 </t>
    </r>
    <r>
      <rPr>
        <sz val="10"/>
        <rFont val="Arial"/>
        <family val="0"/>
        <charset val="1"/>
      </rPr>
      <t xml:space="preserve">3</t>
    </r>
  </si>
  <si>
    <t xml:space="preserve">https://raw.githubusercontent.com/soulthread88/imgs/main/homepage/uno/bb4.webp</t>
  </si>
  <si>
    <r>
      <rPr>
        <sz val="10"/>
        <rFont val="Noto Sans CJK SC"/>
        <family val="2"/>
      </rPr>
      <t xml:space="preserve">한국토지주택공사</t>
    </r>
    <r>
      <rPr>
        <sz val="10"/>
        <rFont val="Arial"/>
        <family val="0"/>
        <charset val="1"/>
      </rPr>
      <t xml:space="preserve">(LH)</t>
    </r>
  </si>
  <si>
    <t xml:space="preserve">한국전력</t>
  </si>
  <si>
    <t xml:space="preserve">LG</t>
  </si>
  <si>
    <r>
      <rPr>
        <sz val="10"/>
        <rFont val="Noto Sans CJK SC"/>
        <family val="2"/>
      </rPr>
      <t xml:space="preserve">블랙박스–기지국 시스템 — 중장비별 블랙박스가 기지국과 연동해 위치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작업 데이터를 전송</t>
    </r>
  </si>
  <si>
    <r>
      <rPr>
        <sz val="10"/>
        <rFont val="Noto Sans CJK SC"/>
        <family val="2"/>
      </rPr>
      <t xml:space="preserve">실시간 </t>
    </r>
    <r>
      <rPr>
        <sz val="10"/>
        <rFont val="Arial"/>
        <family val="0"/>
        <charset val="1"/>
      </rPr>
      <t xml:space="preserve">GIS 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원격 모니터링 — 촬영 이력 검색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자동 보고서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발주처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감리단 데이터 공유</t>
    </r>
  </si>
  <si>
    <t xml:space="preserve">bib3.jpg</t>
  </si>
  <si>
    <t xml:space="preserve">https://raw.githubusercontent.com/soulthread88/imgs/main/homepage/uno/bib3.jpg</t>
  </si>
  <si>
    <t xml:space="preserve">base station banner.png</t>
  </si>
  <si>
    <t xml:space="preserve">https://raw.githubusercontent.com/soulthread88/imgs/main/homepage/uno/base%20station%20banner.png</t>
  </si>
  <si>
    <r>
      <rPr>
        <sz val="10"/>
        <rFont val="Noto Sans CJK SC"/>
        <family val="2"/>
      </rPr>
      <t xml:space="preserve">베이스 스테이션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기준국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메인 이미지</t>
    </r>
  </si>
  <si>
    <t xml:space="preserve">back station+control server - remote control.webp</t>
  </si>
  <si>
    <r>
      <rPr>
        <sz val="10"/>
        <rFont val="Noto Sans CJK SC"/>
        <family val="2"/>
      </rPr>
      <t xml:space="preserve">건설시공 관리 베이스 스테이션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기준국</t>
    </r>
    <r>
      <rPr>
        <sz val="10"/>
        <rFont val="Arial"/>
        <family val="0"/>
        <charset val="1"/>
      </rPr>
      <t xml:space="preserve">)</t>
    </r>
  </si>
  <si>
    <t xml:space="preserve">https://raw.githubusercontent.com/soulthread88/imgs/main/homepage/uno/back%20station%2Bcontrol%20server%20-%20remote%20control.webp</t>
  </si>
  <si>
    <t xml:space="preserve">bb5.webp</t>
  </si>
  <si>
    <t xml:space="preserve">https://raw.githubusercontent.com/soulthread88/imgs/main/homepage/uno/bb5.webp</t>
  </si>
  <si>
    <t xml:space="preserve">base system - gis-based remote control.webp</t>
  </si>
  <si>
    <t xml:space="preserve">https://raw.githubusercontent.com/soulthread88/imgs/main/homepage/uno/base%20system%20-%20gis-based%20remote%20control.webp</t>
  </si>
  <si>
    <t xml:space="preserve">스마트 건설 블랙박스 이미지</t>
  </si>
  <si>
    <r>
      <rPr>
        <sz val="10"/>
        <rFont val="Noto Sans CJK SC"/>
        <family val="2"/>
      </rPr>
      <t xml:space="preserve">베이스 스테이션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기준국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이미지</t>
    </r>
  </si>
  <si>
    <r>
      <rPr>
        <sz val="10"/>
        <rFont val="Arial"/>
        <family val="0"/>
        <charset val="1"/>
      </rPr>
      <t xml:space="preserve">GIS </t>
    </r>
    <r>
      <rPr>
        <sz val="10"/>
        <rFont val="Noto Sans CJK SC"/>
        <family val="2"/>
      </rPr>
      <t xml:space="preserve">관제 서버 이미지</t>
    </r>
  </si>
  <si>
    <t xml:space="preserve">base station component - lte antenna.webp</t>
  </si>
  <si>
    <r>
      <rPr>
        <sz val="10"/>
        <rFont val="Arial"/>
        <family val="0"/>
        <charset val="1"/>
      </rPr>
      <t xml:space="preserve">LTE </t>
    </r>
    <r>
      <rPr>
        <sz val="10"/>
        <rFont val="Noto Sans CJK SC"/>
        <family val="2"/>
      </rPr>
      <t xml:space="preserve">안테나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</si>
  <si>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(3.7)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</si>
  <si>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https://raw.githubusercontent.com/soulthread88/imgs/main/homepage/uno/base%20station%20component%20-%20lte%20antenna.webp</t>
  </si>
  <si>
    <t xml:space="preserve">base station component - wifi ap.webp</t>
  </si>
  <si>
    <t xml:space="preserve">Wi-Fi APM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</si>
  <si>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(3.4)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</si>
  <si>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https://raw.githubusercontent.com/soulthread88/imgs/main/homepage/uno/base%20station%20component%20-%20wifi%20ap.webp</t>
  </si>
  <si>
    <t xml:space="preserve">base station component - data concentrator.webp</t>
  </si>
  <si>
    <t xml:space="preserve">데이터 집중 장치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</si>
  <si>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(3.73)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</si>
  <si>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https://raw.githubusercontent.com/soulthread88/imgs/main/homepage/uno/base%20station%20component%20-%20data%20concentrator.webp</t>
  </si>
  <si>
    <t xml:space="preserve">base station component - outdoor waterproof case.webp</t>
  </si>
  <si>
    <t xml:space="preserve">옥외형 방수 외함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</si>
  <si>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(2.84)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</si>
  <si>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https://raw.githubusercontent.com/soulthread88/imgs/main/homepage/uno/base%20station%20component%20-%20outdoor%20waterproof%20case.webp</t>
  </si>
  <si>
    <t xml:space="preserve">bs-item-1</t>
  </si>
  <si>
    <r>
      <rPr>
        <sz val="10"/>
        <rFont val="Noto Sans CJK SC"/>
        <family val="2"/>
      </rPr>
      <t xml:space="preserve">베이스 스테이션 구성도 </t>
    </r>
    <r>
      <rPr>
        <sz val="10"/>
        <rFont val="Arial"/>
        <family val="0"/>
        <charset val="1"/>
      </rPr>
      <t xml:space="preserve">4K.webp</t>
    </r>
  </si>
  <si>
    <r>
      <rPr>
        <sz val="10"/>
        <rFont val="Arial"/>
        <family val="0"/>
        <charset val="1"/>
      </rPr>
      <t xml:space="preserve">① 3</t>
    </r>
    <r>
      <rPr>
        <sz val="10"/>
        <rFont val="Noto Sans CJK SC"/>
        <family val="2"/>
      </rPr>
      <t xml:space="preserve">단 구성 — 블랙박스 단말 → 베이스 스테이션 → 중앙관제 서버</t>
    </r>
  </si>
  <si>
    <t xml:space="preserve">https://raw.githubusercontent.com/soulthread88/imgs/main/homepage/uno/%EB%B2%A0%EC%9D%B4%EC%8A%A4%20%EC%8A%A4%ED%85%8C%EC%9D%B4%EC%85%98%20%EA%B5%AC%EC%84%B1%EB%8F%84%204K.webp</t>
  </si>
  <si>
    <t xml:space="preserve">bs-item-2</t>
  </si>
  <si>
    <r>
      <rPr>
        <sz val="10"/>
        <rFont val="Arial"/>
        <family val="0"/>
        <charset val="1"/>
      </rPr>
      <t xml:space="preserve">RTK </t>
    </r>
    <r>
      <rPr>
        <sz val="10"/>
        <rFont val="Noto Sans CJK SC"/>
        <family val="2"/>
      </rPr>
      <t xml:space="preserve">블랙박스 기지국 시스템 </t>
    </r>
    <r>
      <rPr>
        <sz val="10"/>
        <rFont val="Arial"/>
        <family val="0"/>
        <charset val="1"/>
      </rPr>
      <t xml:space="preserve">4K.webp</t>
    </r>
  </si>
  <si>
    <t xml:space="preserve">② 건설 현장 블랙박스–기지국 시스템</t>
  </si>
  <si>
    <t xml:space="preserve">https://raw.githubusercontent.com/soulthread88/imgs/main/homepage/uno/RTK%20%EB%B8%94%EB%9E%99%EB%B0%95%EC%8A%A4%20%EA%B8%B0%EC%A7%80%EA%B5%AD%20%EC%8B%9C%EC%8A%A4%ED%85%9C%204K.webp</t>
  </si>
  <si>
    <t xml:space="preserve">bs-item-3</t>
  </si>
  <si>
    <r>
      <rPr>
        <sz val="10"/>
        <rFont val="Noto Sans CJK SC"/>
        <family val="2"/>
      </rPr>
      <t xml:space="preserve">베이스 스테이션 통신 경로 </t>
    </r>
    <r>
      <rPr>
        <sz val="10"/>
        <rFont val="Arial"/>
        <family val="0"/>
        <charset val="1"/>
      </rPr>
      <t xml:space="preserve">4K.webp</t>
    </r>
  </si>
  <si>
    <r>
      <rPr>
        <sz val="10"/>
        <rFont val="Noto Sans CJK SC"/>
        <family val="2"/>
      </rPr>
      <t xml:space="preserve">③ 이중 통신 경로 — </t>
    </r>
    <r>
      <rPr>
        <sz val="10"/>
        <rFont val="Arial"/>
        <family val="0"/>
        <charset val="1"/>
      </rPr>
      <t xml:space="preserve">LTE </t>
    </r>
    <r>
      <rPr>
        <sz val="10"/>
        <rFont val="Noto Sans CJK SC"/>
        <family val="2"/>
      </rPr>
      <t xml:space="preserve">주 경로 </t>
    </r>
    <r>
      <rPr>
        <sz val="10"/>
        <rFont val="Arial"/>
        <family val="0"/>
        <charset val="1"/>
      </rPr>
      <t xml:space="preserve">+ Wi-Fi </t>
    </r>
    <r>
      <rPr>
        <sz val="10"/>
        <rFont val="Noto Sans CJK SC"/>
        <family val="2"/>
      </rPr>
      <t xml:space="preserve">보조 경로</t>
    </r>
  </si>
  <si>
    <t xml:space="preserve">https://raw.githubusercontent.com/soulthread88/imgs/main/homepage/uno/%EB%B2%A0%EC%9D%B4%EC%8A%A4%20%EC%8A%A4%ED%85%8C%EC%9D%B4%EC%85%98%20%ED%86%B5%EC%8B%A0%20%EA%B2%BD%EB%A1%9C%204K.webp</t>
  </si>
  <si>
    <t xml:space="preserve">bs-item-4</t>
  </si>
  <si>
    <r>
      <rPr>
        <sz val="10"/>
        <rFont val="Noto Sans CJK SC"/>
        <family val="2"/>
      </rPr>
      <t xml:space="preserve">베이스 스테이션 옥외 설치 </t>
    </r>
    <r>
      <rPr>
        <sz val="10"/>
        <rFont val="Arial"/>
        <family val="0"/>
        <charset val="1"/>
      </rPr>
      <t xml:space="preserve">4K.webp</t>
    </r>
  </si>
  <si>
    <t xml:space="preserve">④ 옥외 설치 — 혹독한 건설 현장에 맞춘 설계</t>
  </si>
  <si>
    <t xml:space="preserve">https://raw.githubusercontent.com/soulthread88/imgs/main/homepage/uno/%EB%B2%A0%EC%9D%B4%EC%8A%A4%20%EC%8A%A4%ED%85%8C%EC%9D%B4%EC%85%98%20%EC%98%A5%EC%99%B8%20%EC%84%A4%EC%B9%98%204K.webp</t>
  </si>
  <si>
    <t xml:space="preserve">hero-image-wrap</t>
  </si>
  <si>
    <t xml:space="preserve">건설시공 관리 베이스스테이션</t>
  </si>
  <si>
    <t xml:space="preserve">베이스스테이션 본체</t>
  </si>
  <si>
    <t xml:space="preserve">banner - transverse_wave_speaker.webp</t>
  </si>
  <si>
    <t xml:space="preserve">횡파 스피커 메인 이미지</t>
  </si>
  <si>
    <t xml:space="preserve">https://raw.githubusercontent.com/soulthread88/imgs/main/homepage/uno/banner%20-%20transverse_wave_speaker.webp</t>
  </si>
  <si>
    <r>
      <rPr>
        <sz val="10"/>
        <rFont val="Noto Sans CJK SC"/>
        <family val="2"/>
      </rPr>
      <t xml:space="preserve">횡파 스피커 </t>
    </r>
    <r>
      <rPr>
        <sz val="10"/>
        <rFont val="Arial"/>
        <family val="0"/>
        <charset val="1"/>
      </rPr>
      <t xml:space="preserve">(Transverse Wave Speaker)</t>
    </r>
  </si>
  <si>
    <r>
      <rPr>
        <sz val="10"/>
        <rFont val="Noto Sans CJK SC"/>
        <family val="2"/>
      </rPr>
      <t xml:space="preserve">서울 메트로에 설치된 횡파스피커 </t>
    </r>
    <r>
      <rPr>
        <sz val="10"/>
        <rFont val="Arial"/>
        <family val="0"/>
        <charset val="1"/>
      </rPr>
      <t xml:space="preserve">2.webp</t>
    </r>
  </si>
  <si>
    <t xml:space="preserve">https://raw.githubusercontent.com/soulthread88/imgs/main/homepage/uno/%EC%84%9C%EC%9A%B8%20%EB%A9%94%ED%8A%B8%EB%A1%9C%EC%97%90%20%EC%84%A4%EC%B9%98%EB%90%9C%20%ED%9A%A1%ED%8C%8C%EC%8A%A4%ED%94%BC%EC%BB%A4%202.webp</t>
  </si>
  <si>
    <r>
      <rPr>
        <sz val="10"/>
        <rFont val="Noto Sans CJK SC"/>
        <family val="2"/>
      </rPr>
      <t xml:space="preserve">횡파 스피커 </t>
    </r>
    <r>
      <rPr>
        <sz val="10"/>
        <rFont val="Arial"/>
        <family val="0"/>
        <charset val="1"/>
      </rPr>
      <t xml:space="preserve">4.webp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</si>
  <si>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(2.68)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</si>
  <si>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https://raw.githubusercontent.com/soulthread88/imgs/main/homepage/uno/%ED%9A%A1%ED%8C%8C%20%EC%8A%A4%ED%94%BC%EC%BB%A4%204.webp</t>
  </si>
  <si>
    <r>
      <rPr>
        <sz val="10"/>
        <rFont val="Noto Sans CJK SC"/>
        <family val="2"/>
      </rPr>
      <t xml:space="preserve">횡파 스피커 </t>
    </r>
    <r>
      <rPr>
        <sz val="10"/>
        <rFont val="Arial"/>
        <family val="0"/>
        <charset val="1"/>
      </rPr>
      <t xml:space="preserve">5.webp</t>
    </r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</si>
  <si>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(0.27)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</si>
  <si>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https://raw.githubusercontent.com/soulthread88/imgs/main/homepage/uno/%ED%9A%A1%ED%8C%8C%20%EC%8A%A4%ED%94%BC%EC%BB%A4%205.webp</t>
  </si>
  <si>
    <r>
      <rPr>
        <sz val="10"/>
        <rFont val="Noto Sans CJK SC"/>
        <family val="2"/>
      </rPr>
      <t xml:space="preserve">음압</t>
    </r>
    <r>
      <rPr>
        <sz val="10"/>
        <rFont val="Arial"/>
        <family val="0"/>
        <charset val="1"/>
      </rPr>
      <t xml:space="preserve">.webp</t>
    </r>
  </si>
  <si>
    <t xml:space="preserve">https://raw.githubusercontent.com/soulthread88/imgs/main/homepage/uno/%EC%9D%8C%EC%95%95.webp</t>
  </si>
  <si>
    <r>
      <rPr>
        <sz val="10"/>
        <rFont val="Noto Sans CJK SC"/>
        <family val="2"/>
      </rPr>
      <t xml:space="preserve">무지향성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횡파스피커 특징</t>
    </r>
    <r>
      <rPr>
        <sz val="10"/>
        <rFont val="Arial"/>
        <family val="0"/>
        <charset val="1"/>
      </rPr>
      <t xml:space="preserve">.webp</t>
    </r>
  </si>
  <si>
    <r>
      <rPr>
        <sz val="10"/>
        <rFont val="Noto Sans CJK SC"/>
        <family val="2"/>
      </rPr>
      <t xml:space="preserve">일반 스피커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이미지</t>
    </r>
  </si>
  <si>
    <t xml:space="preserve">https://raw.githubusercontent.com/soulthread88/imgs/main/homepage/uno/%EB%AC%B4%EC%A7%80%ED%96%A5%EC%84%B1%20-%20%ED%9A%A1%ED%8C%8C%EC%8A%A4%ED%94%BC%EC%BB%A4%20%ED%8A%B9%EC%A7%95.webp</t>
  </si>
  <si>
    <r>
      <rPr>
        <sz val="10"/>
        <rFont val="Noto Sans CJK SC"/>
        <family val="2"/>
      </rPr>
      <t xml:space="preserve">횡파 스피커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횡파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이미지</t>
    </r>
  </si>
  <si>
    <r>
      <rPr>
        <sz val="10"/>
        <rFont val="Noto Sans CJK SC"/>
        <family val="2"/>
      </rPr>
      <t xml:space="preserve">횡파 스피커 등록특허증</t>
    </r>
    <r>
      <rPr>
        <sz val="10"/>
        <rFont val="Arial"/>
        <family val="0"/>
        <charset val="1"/>
      </rPr>
      <t xml:space="preserve">.webp</t>
    </r>
  </si>
  <si>
    <t xml:space="preserve">특허 기반 구조 이미지</t>
  </si>
  <si>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(0.71)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같은 페이지에서 중복 사용</t>
    </r>
  </si>
  <si>
    <t xml:space="preserve">https://raw.githubusercontent.com/soulthread88/imgs/main/homepage/uno/%ED%9A%A1%ED%8C%8C%20%EC%8A%A4%ED%94%BC%EC%BB%A4%20%EB%93%B1%EB%A1%9D%ED%8A%B9%ED%97%88%EC%A6%9D.webp</t>
  </si>
  <si>
    <r>
      <rPr>
        <sz val="10"/>
        <rFont val="Noto Sans CJK SC"/>
        <family val="2"/>
      </rPr>
      <t xml:space="preserve">횡파 스피커 응용 분야 구성도</t>
    </r>
    <r>
      <rPr>
        <sz val="10"/>
        <rFont val="Arial"/>
        <family val="0"/>
        <charset val="1"/>
      </rPr>
      <t xml:space="preserve">.webp</t>
    </r>
  </si>
  <si>
    <t xml:space="preserve">응용 분야 구성도</t>
  </si>
  <si>
    <t xml:space="preserve">https://raw.githubusercontent.com/soulthread88/imgs/main/homepage/uno/%ED%9A%A1%ED%8C%8C%20%EC%8A%A4%ED%94%BC%EC%BB%A4%20%EC%9D%91%EC%9A%A9%20%EB%B6%84%EC%95%BC%20%EA%B5%AC%EC%84%B1%EB%8F%84.webp</t>
  </si>
  <si>
    <r>
      <rPr>
        <sz val="10"/>
        <rFont val="Noto Sans CJK SC"/>
        <family val="2"/>
      </rPr>
      <t xml:space="preserve">등록특허증 </t>
    </r>
    <r>
      <rPr>
        <sz val="10"/>
        <rFont val="Arial"/>
        <family val="0"/>
        <charset val="1"/>
      </rPr>
      <t xml:space="preserve">(KR10-1273442)</t>
    </r>
  </si>
  <si>
    <t xml:space="preserve">서울메트로 설치 현장</t>
  </si>
  <si>
    <t xml:space="preserve">횡파 스피커 본체</t>
  </si>
  <si>
    <t xml:space="preserve">banner - transverse_wave_speaker.png</t>
  </si>
  <si>
    <t xml:space="preserve">https://raw.githubusercontent.com/soulthread88/imgs/main/homepage/uno/banner%20-%20transverse_wave_speaker.png</t>
  </si>
  <si>
    <r>
      <rPr>
        <sz val="10"/>
        <rFont val="Arial"/>
        <family val="0"/>
        <charset val="1"/>
      </rPr>
      <t xml:space="preserve">UNO SYSTEM </t>
    </r>
    <r>
      <rPr>
        <sz val="10"/>
        <rFont val="Noto Sans CJK SC"/>
        <family val="2"/>
      </rPr>
      <t xml:space="preserve">프로젝트 현장</t>
    </r>
  </si>
  <si>
    <t xml:space="preserve">ref-img-wrap</t>
  </si>
  <si>
    <r>
      <rPr>
        <sz val="10"/>
        <rFont val="Arial"/>
        <family val="0"/>
        <charset val="1"/>
      </rPr>
      <t xml:space="preserve">alt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</si>
  <si>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r>
      <rPr>
        <sz val="10"/>
        <rFont val="Arial"/>
        <family val="0"/>
        <charset val="1"/>
      </rPr>
      <t xml:space="preserve">alt </t>
    </r>
    <r>
      <rPr>
        <sz val="10"/>
        <rFont val="Noto Sans CJK SC"/>
        <family val="2"/>
      </rPr>
      <t xml:space="preserve">없음</t>
    </r>
  </si>
  <si>
    <r>
      <rPr>
        <sz val="10"/>
        <rFont val="Arial"/>
        <family val="0"/>
        <charset val="1"/>
      </rPr>
      <t xml:space="preserve">alt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같은 페이지에서 중복 사용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파일명이 페이지 주제와 무관해 보임 — 내용 적합성 수동 확인</t>
    </r>
  </si>
  <si>
    <r>
      <rPr>
        <sz val="10"/>
        <rFont val="Arial"/>
        <family val="0"/>
        <charset val="1"/>
      </rPr>
      <t xml:space="preserve">alt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같은 페이지에서 중복 사용</t>
    </r>
  </si>
  <si>
    <r>
      <rPr>
        <sz val="10"/>
        <rFont val="Arial"/>
        <family val="0"/>
        <charset val="1"/>
      </rPr>
      <t xml:space="preserve">alt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(2.94)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같은 페이지에서 중복 사용</t>
    </r>
  </si>
  <si>
    <r>
      <rPr>
        <sz val="10"/>
        <rFont val="Noto Sans CJK SC"/>
        <family val="2"/>
      </rPr>
      <t xml:space="preserve">소방청</t>
    </r>
    <r>
      <rPr>
        <sz val="10"/>
        <rFont val="Arial"/>
        <family val="0"/>
        <charset val="1"/>
      </rPr>
      <t xml:space="preserve">.webp</t>
    </r>
  </si>
  <si>
    <t xml:space="preserve">https://raw.githubusercontent.com/soulthread88/imgs/main/homepage/uno/%EC%86%8C%EB%B0%A9%EC%B2%AD.webp</t>
  </si>
  <si>
    <t xml:space="preserve">hcard-img-wrap</t>
  </si>
  <si>
    <r>
      <rPr>
        <sz val="10"/>
        <rFont val="Noto Sans CJK SC"/>
        <family val="2"/>
      </rPr>
      <t xml:space="preserve">가공송전 </t>
    </r>
    <r>
      <rPr>
        <sz val="10"/>
        <rFont val="Arial"/>
        <family val="0"/>
        <charset val="1"/>
      </rPr>
      <t xml:space="preserve">by kepco.webp</t>
    </r>
  </si>
  <si>
    <t xml:space="preserve">https://raw.githubusercontent.com/soulthread88/imgs/main/homepage/uno/%EA%B0%80%EA%B3%B5%EC%86%A1%EC%A0%84%20by%20kepco.webp</t>
  </si>
  <si>
    <r>
      <rPr>
        <sz val="10"/>
        <rFont val="Noto Sans CJK SC"/>
        <family val="2"/>
      </rPr>
      <t xml:space="preserve">부산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울산 송전선로</t>
    </r>
    <r>
      <rPr>
        <sz val="10"/>
        <rFont val="Arial"/>
        <family val="0"/>
        <charset val="1"/>
      </rPr>
      <t xml:space="preserve">.webp</t>
    </r>
  </si>
  <si>
    <t xml:space="preserve">https://raw.githubusercontent.com/soulthread88/imgs/main/homepage/uno/%EB%B6%80%EC%82%B0-%EC%9A%B8%EC%82%B0%20%EC%86%A1%EC%A0%84%EC%84%A0%EB%A1%9C.webp</t>
  </si>
  <si>
    <r>
      <rPr>
        <sz val="10"/>
        <rFont val="Noto Sans CJK SC"/>
        <family val="2"/>
      </rPr>
      <t xml:space="preserve">송전선로 </t>
    </r>
    <r>
      <rPr>
        <sz val="10"/>
        <rFont val="Arial"/>
        <family val="0"/>
        <charset val="1"/>
      </rPr>
      <t xml:space="preserve">by joongdo ilbo.webp</t>
    </r>
  </si>
  <si>
    <t xml:space="preserve">https://raw.githubusercontent.com/soulthread88/imgs/main/homepage/uno/%EC%86%A1%EC%A0%84%EC%84%A0%EB%A1%9C%20by%20joongdo%20ilbo.webp</t>
  </si>
  <si>
    <r>
      <rPr>
        <sz val="10"/>
        <rFont val="Noto Sans CJK SC"/>
        <family val="2"/>
      </rPr>
      <t xml:space="preserve">신충주변전소 </t>
    </r>
    <r>
      <rPr>
        <sz val="10"/>
        <rFont val="Arial"/>
        <family val="0"/>
        <charset val="1"/>
      </rPr>
      <t xml:space="preserve">by </t>
    </r>
    <r>
      <rPr>
        <sz val="10"/>
        <rFont val="Noto Sans CJK SC"/>
        <family val="2"/>
      </rPr>
      <t xml:space="preserve">충정리뷰</t>
    </r>
    <r>
      <rPr>
        <sz val="10"/>
        <rFont val="Arial"/>
        <family val="0"/>
        <charset val="1"/>
      </rPr>
      <t xml:space="preserve">.webp</t>
    </r>
  </si>
  <si>
    <t xml:space="preserve">https://raw.githubusercontent.com/soulthread88/imgs/main/homepage/uno/%EC%8B%A0%EC%B6%A9%EC%A3%BC%EB%B3%80%EC%A0%84%EC%86%8C%20by%20%EC%B6%A9%EC%A0%95%EB%A6%AC%EB%B7%B0.webp</t>
  </si>
  <si>
    <r>
      <rPr>
        <sz val="10"/>
        <rFont val="Noto Sans CJK SC"/>
        <family val="2"/>
      </rPr>
      <t xml:space="preserve">동안양변전소 옥내화 사업</t>
    </r>
    <r>
      <rPr>
        <sz val="10"/>
        <rFont val="Arial"/>
        <family val="0"/>
        <charset val="1"/>
      </rPr>
      <t xml:space="preserve">.webp</t>
    </r>
  </si>
  <si>
    <t xml:space="preserve">https://raw.githubusercontent.com/soulthread88/imgs/main/homepage/uno/%EB%8F%99%EC%95%88%EC%96%91%EB%B3%80%EC%A0%84%EC%86%8C%20%EC%98%A5%EB%82%B4%ED%99%94%20%EC%82%AC%EC%97%85.webp</t>
  </si>
  <si>
    <r>
      <rPr>
        <sz val="10"/>
        <rFont val="Noto Sans CJK SC"/>
        <family val="2"/>
      </rPr>
      <t xml:space="preserve">해남영신 변전소 </t>
    </r>
    <r>
      <rPr>
        <sz val="10"/>
        <rFont val="Arial"/>
        <family val="0"/>
        <charset val="1"/>
      </rPr>
      <t xml:space="preserve">by </t>
    </r>
    <r>
      <rPr>
        <sz val="10"/>
        <rFont val="Noto Sans CJK SC"/>
        <family val="2"/>
      </rPr>
      <t xml:space="preserve">해남시대</t>
    </r>
    <r>
      <rPr>
        <sz val="10"/>
        <rFont val="Arial"/>
        <family val="0"/>
        <charset val="1"/>
      </rPr>
      <t xml:space="preserve">.webp</t>
    </r>
  </si>
  <si>
    <t xml:space="preserve">https://raw.githubusercontent.com/soulthread88/imgs/main/homepage/uno/%ED%95%B4%EB%82%A8%EC%98%81%EC%8B%A0%20%EB%B3%80%EC%A0%84%EC%86%8C%20by%20%ED%95%B4%EB%82%A8%EC%8B%9C%EB%8C%80.webp</t>
  </si>
  <si>
    <r>
      <rPr>
        <sz val="10"/>
        <rFont val="Noto Sans CJK SC"/>
        <family val="2"/>
      </rPr>
      <t xml:space="preserve">송전선로 </t>
    </r>
    <r>
      <rPr>
        <sz val="10"/>
        <rFont val="Arial"/>
        <family val="0"/>
        <charset val="1"/>
      </rPr>
      <t xml:space="preserve">by pusan daily newspaper.webp</t>
    </r>
  </si>
  <si>
    <t xml:space="preserve">https://raw.githubusercontent.com/soulthread88/imgs/main/homepage/uno/%EC%86%A1%EC%A0%84%EC%84%A0%EB%A1%9C%20by%20pusan%20daily%20newspaper.webp</t>
  </si>
  <si>
    <r>
      <rPr>
        <sz val="10"/>
        <rFont val="Noto Sans CJK SC"/>
        <family val="2"/>
      </rPr>
      <t xml:space="preserve">송전선로 </t>
    </r>
    <r>
      <rPr>
        <sz val="10"/>
        <rFont val="Arial"/>
        <family val="0"/>
        <charset val="1"/>
      </rPr>
      <t xml:space="preserve">by </t>
    </r>
    <r>
      <rPr>
        <sz val="10"/>
        <rFont val="Noto Sans CJK SC"/>
        <family val="2"/>
      </rPr>
      <t xml:space="preserve">벽산파워</t>
    </r>
    <r>
      <rPr>
        <sz val="10"/>
        <rFont val="Arial"/>
        <family val="0"/>
        <charset val="1"/>
      </rPr>
      <t xml:space="preserve">.webp</t>
    </r>
  </si>
  <si>
    <t xml:space="preserve">https://raw.githubusercontent.com/soulthread88/imgs/main/homepage/uno/%EC%86%A1%EC%A0%84%EC%84%A0%EB%A1%9C%20by%20%EB%B2%BD%EC%82%B0%ED%8C%8C%EC%9B%8C.webp</t>
  </si>
  <si>
    <t xml:space="preserve">uno facp with fiber optic lhd in power tunnel 2.webp</t>
  </si>
  <si>
    <t xml:space="preserve">https://raw.githubusercontent.com/soulthread88/imgs/main/homepage/uno/uno%20facp%20with%20fiber%20optic%20lhd%20in%20power%20tunnel%202.webp</t>
  </si>
  <si>
    <r>
      <rPr>
        <sz val="10"/>
        <rFont val="Noto Sans CJK SC"/>
        <family val="2"/>
      </rPr>
      <t xml:space="preserve">송전 </t>
    </r>
    <r>
      <rPr>
        <sz val="10"/>
        <rFont val="Arial"/>
        <family val="0"/>
        <charset val="1"/>
      </rPr>
      <t xml:space="preserve">by kepco.webp</t>
    </r>
  </si>
  <si>
    <t xml:space="preserve">https://raw.githubusercontent.com/soulthread88/imgs/main/homepage/uno/%EC%86%A1%EC%A0%84%20by%20kepco.webp</t>
  </si>
  <si>
    <r>
      <rPr>
        <sz val="10"/>
        <rFont val="Noto Sans CJK SC"/>
        <family val="2"/>
      </rPr>
      <t xml:space="preserve">터널을 밝히는 한 줄의 빛 </t>
    </r>
    <r>
      <rPr>
        <sz val="10"/>
        <rFont val="Arial"/>
        <family val="0"/>
        <charset val="1"/>
      </rPr>
      <t xml:space="preserve">2.webp</t>
    </r>
  </si>
  <si>
    <t xml:space="preserve">https://raw.githubusercontent.com/soulthread88/imgs/main/homepage/uno/%ED%84%B0%EB%84%90%EC%9D%84%20%EB%B0%9D%ED%9E%88%EB%8A%94%20%ED%95%9C%20%EC%A4%84%EC%9D%98%20%EB%B9%9B%202.webp</t>
  </si>
  <si>
    <t xml:space="preserve">road tunnel 1.webp</t>
  </si>
  <si>
    <t xml:space="preserve">https://raw.githubusercontent.com/soulthread88/imgs/main/homepage/uno/road%20tunnel%201.webp</t>
  </si>
  <si>
    <t xml:space="preserve">install in tunnel 2.webp</t>
  </si>
  <si>
    <r>
      <rPr>
        <sz val="10"/>
        <rFont val="Arial"/>
        <family val="0"/>
        <charset val="1"/>
      </rPr>
      <t xml:space="preserve">alt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(0.73)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</si>
  <si>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https://raw.githubusercontent.com/soulthread88/imgs/main/homepage/uno/install%20in%20tunnel%202.webp</t>
  </si>
  <si>
    <t xml:space="preserve">posco.jpg.webp</t>
  </si>
  <si>
    <t xml:space="preserve">https://raw.githubusercontent.com/soulthread88/imgs/main/homepage/uno/posco.jpg.webp</t>
  </si>
  <si>
    <r>
      <rPr>
        <sz val="10"/>
        <rFont val="Noto Sans CJK SC"/>
        <family val="2"/>
      </rPr>
      <t xml:space="preserve">구미시설공단</t>
    </r>
    <r>
      <rPr>
        <sz val="10"/>
        <rFont val="Arial"/>
        <family val="0"/>
        <charset val="1"/>
      </rPr>
      <t xml:space="preserve">.webp</t>
    </r>
  </si>
  <si>
    <t xml:space="preserve">https://raw.githubusercontent.com/soulthread88/imgs/main/homepage/uno/%EA%B5%AC%EB%AF%B8%EC%8B%9C%EC%84%A4%EA%B3%B5%EB%8B%A8.webp</t>
  </si>
  <si>
    <t xml:space="preserve">install in tunnel 3.webp</t>
  </si>
  <si>
    <t xml:space="preserve">https://raw.githubusercontent.com/soulthread88/imgs/main/homepage/uno/install%20in%20tunnel%203.webp</t>
  </si>
  <si>
    <t xml:space="preserve">install in tunnel.webp</t>
  </si>
  <si>
    <r>
      <rPr>
        <sz val="10"/>
        <rFont val="Arial"/>
        <family val="0"/>
        <charset val="1"/>
      </rPr>
      <t xml:space="preserve">alt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(0.71) — </t>
    </r>
    <r>
      <rPr>
        <sz val="10"/>
        <rFont val="Noto Sans CJK SC"/>
        <family val="2"/>
      </rPr>
      <t xml:space="preserve">박스 크롭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여백 확인</t>
    </r>
  </si>
  <si>
    <t xml:space="preserve">https://raw.githubusercontent.com/soulthread88/imgs/main/homepage/uno/install%20in%20tunnel.webp</t>
  </si>
  <si>
    <t xml:space="preserve">cli-logo-img-wrap</t>
  </si>
  <si>
    <t xml:space="preserve">한국토지주택공사</t>
  </si>
  <si>
    <t xml:space="preserve">trigem logo.webp</t>
  </si>
  <si>
    <t xml:space="preserve">삼보컴퓨터</t>
  </si>
  <si>
    <t xml:space="preserve">https://raw.githubusercontent.com/soulthread88/imgs/main/homepage/uno/trigem%20logo.webp</t>
  </si>
  <si>
    <t xml:space="preserve">posco.png.webp</t>
  </si>
  <si>
    <t xml:space="preserve">POSCO</t>
  </si>
  <si>
    <t xml:space="preserve">https://raw.githubusercontent.com/soulthread88/imgs/main/homepage/uno/posco.png.webp</t>
  </si>
  <si>
    <t xml:space="preserve">uno facp with fiber optic lhd in power tunnel.png</t>
  </si>
  <si>
    <t xml:space="preserve">https://raw.githubusercontent.com/soulthread88/imgs/main/homepage/uno/uno%20facp%20with%20fiber%20optic%20lhd%20in%20power%20tunnel.png</t>
  </si>
  <si>
    <r>
      <rPr>
        <sz val="10"/>
        <rFont val="Noto Sans CJK SC"/>
        <family val="2"/>
      </rPr>
      <t xml:space="preserve">송전 </t>
    </r>
    <r>
      <rPr>
        <sz val="10"/>
        <rFont val="Arial"/>
        <family val="0"/>
        <charset val="1"/>
      </rPr>
      <t xml:space="preserve">by kepco.jpg</t>
    </r>
  </si>
  <si>
    <t xml:space="preserve">https://raw.githubusercontent.com/soulthread88/imgs/main/homepage/uno/%EC%86%A1%EC%A0%84%20by%20kepco.jpg</t>
  </si>
  <si>
    <t xml:space="preserve">hero_tech-wrap</t>
  </si>
  <si>
    <t xml:space="preserve">iia ceiling.webp</t>
  </si>
  <si>
    <t xml:space="preserve">기술보유현황 대표 이미지</t>
  </si>
  <si>
    <t xml:space="preserve">https://raw.githubusercontent.com/soulthread88/imgs/main/homepage/uno/iia%20ceiling.webp</t>
  </si>
  <si>
    <t xml:space="preserve">patents</t>
  </si>
  <si>
    <t xml:space="preserve">patent 1.webp</t>
  </si>
  <si>
    <t xml:space="preserve">특허증</t>
  </si>
  <si>
    <t xml:space="preserve">https://raw.githubusercontent.com/soulthread88/imgs/main/homepage/uno/patent%201.webp</t>
  </si>
  <si>
    <t xml:space="preserve">cert-img-wrap</t>
  </si>
  <si>
    <r>
      <rPr>
        <sz val="10"/>
        <rFont val="Arial"/>
        <family val="0"/>
        <charset val="1"/>
      </rPr>
      <t xml:space="preserve">KFI </t>
    </r>
    <r>
      <rPr>
        <sz val="10"/>
        <rFont val="Noto Sans CJK SC"/>
        <family val="2"/>
      </rPr>
      <t xml:space="preserve">형식승인서</t>
    </r>
  </si>
  <si>
    <t xml:space="preserve">iia ceiling.bmp</t>
  </si>
  <si>
    <t xml:space="preserve">https://raw.githubusercontent.com/soulthread88/imgs/main/homepage/uno/iia%20ceiling.bmp</t>
  </si>
  <si>
    <t xml:space="preserve">항목</t>
  </si>
  <si>
    <t xml:space="preserve">내용</t>
  </si>
  <si>
    <t xml:space="preserve">대상</t>
  </si>
  <si>
    <r>
      <rPr>
        <sz val="10"/>
        <rFont val="Arial"/>
        <family val="0"/>
        <charset val="1"/>
      </rPr>
      <t xml:space="preserve">Header </t>
    </r>
    <r>
      <rPr>
        <sz val="10"/>
        <rFont val="Noto Sans CJK SC"/>
        <family val="2"/>
      </rPr>
      <t xml:space="preserve">메뉴와 연결된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HTML (GitHub soulthread88/htmls/main/homepage/uno </t>
    </r>
    <r>
      <rPr>
        <sz val="10"/>
        <rFont val="Noto Sans CJK SC"/>
        <family val="2"/>
      </rPr>
      <t xml:space="preserve">에서 받은 파일 기준</t>
    </r>
    <r>
      <rPr>
        <sz val="10"/>
        <rFont val="Arial"/>
        <family val="0"/>
        <charset val="1"/>
      </rPr>
      <t xml:space="preserve">)</t>
    </r>
  </si>
  <si>
    <t xml:space="preserve">수집 범위</t>
  </si>
  <si>
    <r>
      <rPr>
        <sz val="10"/>
        <rFont val="Arial"/>
        <family val="0"/>
        <charset val="1"/>
      </rPr>
      <t xml:space="preserve">&lt;img&gt;·&lt;video&gt;·&lt;audio&gt;·&lt;source&gt;, og:image, CSS background-image. Header/Footer(</t>
    </r>
    <r>
      <rPr>
        <sz val="10"/>
        <rFont val="Noto Sans CJK SC"/>
        <family val="2"/>
      </rPr>
      <t xml:space="preserve">공통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도 포함하며 위치 열로 구분</t>
    </r>
  </si>
  <si>
    <r>
      <rPr>
        <sz val="10"/>
        <rFont val="Noto Sans CJK SC"/>
        <family val="2"/>
      </rPr>
      <t xml:space="preserve">존재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크기 확인</t>
    </r>
  </si>
  <si>
    <r>
      <rPr>
        <sz val="10"/>
        <rFont val="Noto Sans CJK SC"/>
        <family val="2"/>
      </rPr>
      <t xml:space="preserve">각 </t>
    </r>
    <r>
      <rPr>
        <sz val="10"/>
        <rFont val="Arial"/>
        <family val="0"/>
        <charset val="1"/>
      </rPr>
      <t xml:space="preserve">URL</t>
    </r>
    <r>
      <rPr>
        <sz val="10"/>
        <rFont val="Noto Sans CJK SC"/>
        <family val="2"/>
      </rPr>
      <t xml:space="preserve">을 실제로 내려받아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용량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가로세로를 측정 </t>
    </r>
    <r>
      <rPr>
        <sz val="10"/>
        <rFont val="Arial"/>
        <family val="0"/>
        <charset val="1"/>
      </rPr>
      <t xml:space="preserve">(2026-10-17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</si>
  <si>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판정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오류</t>
    </r>
  </si>
  <si>
    <r>
      <rPr>
        <sz val="10"/>
        <rFont val="Noto Sans CJK SC"/>
        <family val="2"/>
      </rPr>
      <t xml:space="preserve">파일 접근 실패</t>
    </r>
    <r>
      <rPr>
        <sz val="10"/>
        <rFont val="Arial"/>
        <family val="0"/>
        <charset val="1"/>
      </rPr>
      <t xml:space="preserve">(404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</si>
  <si>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판정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확인필요</t>
    </r>
  </si>
  <si>
    <r>
      <rPr>
        <sz val="10"/>
        <rFont val="Noto Sans CJK SC"/>
        <family val="2"/>
      </rPr>
      <t xml:space="preserve">대체 파일 없음</t>
    </r>
    <r>
      <rPr>
        <sz val="10"/>
        <rFont val="Arial"/>
        <family val="0"/>
        <charset val="1"/>
      </rPr>
      <t xml:space="preserve">, 400KB </t>
    </r>
    <r>
      <rPr>
        <sz val="10"/>
        <rFont val="Noto Sans CJK SC"/>
        <family val="2"/>
      </rPr>
      <t xml:space="preserve">초과</t>
    </r>
    <r>
      <rPr>
        <sz val="10"/>
        <rFont val="Arial"/>
        <family val="0"/>
        <charset val="1"/>
      </rPr>
      <t xml:space="preserve">, base64 30KB </t>
    </r>
    <r>
      <rPr>
        <sz val="10"/>
        <rFont val="Noto Sans CJK SC"/>
        <family val="2"/>
      </rPr>
      <t xml:space="preserve">초과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외부 도메인</t>
    </r>
    <r>
      <rPr>
        <sz val="10"/>
        <rFont val="Arial"/>
        <family val="0"/>
        <charset val="1"/>
      </rPr>
      <t xml:space="preserve">, PNG </t>
    </r>
    <r>
      <rPr>
        <sz val="10"/>
        <rFont val="Noto Sans CJK SC"/>
        <family val="2"/>
      </rPr>
      <t xml:space="preserve">단독</t>
    </r>
    <r>
      <rPr>
        <sz val="10"/>
        <rFont val="Arial"/>
        <family val="0"/>
        <charset val="1"/>
      </rPr>
      <t xml:space="preserve">, alt 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비율 특이</t>
    </r>
    <r>
      <rPr>
        <sz val="10"/>
        <rFont val="Arial"/>
        <family val="0"/>
        <charset val="1"/>
      </rPr>
      <t xml:space="preserve">(&gt;2.6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&lt;1.0), </t>
    </r>
    <r>
      <rPr>
        <sz val="10"/>
        <rFont val="Noto Sans CJK SC"/>
        <family val="2"/>
      </rPr>
      <t xml:space="preserve">페이지 내 중복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오디오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내용 적합성 의심</t>
    </r>
  </si>
  <si>
    <r>
      <rPr>
        <sz val="10"/>
        <rFont val="Noto Sans CJK SC"/>
        <family val="2"/>
      </rPr>
      <t xml:space="preserve">내용 적합성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휴리스틱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</si>
  <si>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페이지별로 정한 키워드가 파일명에 없으면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수동 확인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파일명 기반 추정이므로 실제 그림 내용은 사람이 확인해야 함 — 수동 확인 메모 열에 기록</t>
    </r>
  </si>
  <si>
    <t xml:space="preserve">한계</t>
  </si>
  <si>
    <r>
      <rPr>
        <sz val="10"/>
        <rFont val="Noto Sans CJK SC"/>
        <family val="2"/>
      </rPr>
      <t xml:space="preserve">박스 </t>
    </r>
    <r>
      <rPr>
        <sz val="10"/>
        <rFont val="Arial"/>
        <family val="0"/>
        <charset val="1"/>
      </rPr>
      <t xml:space="preserve">CSS </t>
    </r>
    <r>
      <rPr>
        <sz val="10"/>
        <rFont val="Noto Sans CJK SC"/>
        <family val="2"/>
      </rPr>
      <t xml:space="preserve">비율과 이미지 비율의 정확한 대조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이미지 내용 자체의 적합성은 자동 판정하지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지연 로딩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언어별 이미지</t>
    </r>
    <r>
      <rPr>
        <sz val="10"/>
        <rFont val="Arial"/>
        <family val="0"/>
        <charset val="1"/>
      </rPr>
      <t xml:space="preserve">(data-src-en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src </t>
    </r>
    <r>
      <rPr>
        <sz val="10"/>
        <rFont val="Noto Sans CJK SC"/>
        <family val="2"/>
      </rPr>
      <t xml:space="preserve">기준</t>
    </r>
  </si>
  <si>
    <r>
      <rPr>
        <sz val="10"/>
        <rFont val="Arial"/>
        <family val="0"/>
        <charset val="1"/>
      </rPr>
      <t xml:space="preserve">GitHub </t>
    </r>
    <r>
      <rPr>
        <sz val="10"/>
        <rFont val="Noto Sans CJK SC"/>
        <family val="2"/>
      </rPr>
      <t xml:space="preserve">폴더 현황</t>
    </r>
  </si>
  <si>
    <r>
      <rPr>
        <sz val="10"/>
        <rFont val="Arial"/>
        <family val="0"/>
        <charset val="1"/>
      </rPr>
      <t xml:space="preserve">videos/homepage/uno: carousel-1.mp4, pomelli_creative_video_9_16_0530 </t>
    </r>
    <r>
      <rPr>
        <sz val="10"/>
        <rFont val="Noto Sans CJK SC"/>
        <family val="2"/>
      </rPr>
      <t xml:space="preserve">계열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세로 </t>
    </r>
    <r>
      <rPr>
        <sz val="10"/>
        <rFont val="Arial"/>
        <family val="0"/>
        <charset val="1"/>
      </rPr>
      <t xml:space="preserve">9:16). audio/homepage/uno: </t>
    </r>
    <r>
      <rPr>
        <sz val="10"/>
        <rFont val="Noto Sans CJK SC"/>
        <family val="2"/>
      </rPr>
      <t xml:space="preserve">파일 없음</t>
    </r>
    <r>
      <rPr>
        <sz val="10"/>
        <rFont val="Arial"/>
        <family val="0"/>
        <charset val="1"/>
      </rPr>
      <t xml:space="preserve">(.gitkeep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</si>
</sst>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CC"/>
        <bgColor rgb="FFE2F4E5"/>
      </patternFill>
    </fill>
    <fill>
      <patternFill patternType="solid">
        <fgColor rgb="FFE2F4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4E5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4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1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f aca="false">COUNTIFS(점검표!$B$2:$B$450,A2,점검표!$D$2:$D$450,"img")</f>
        <v>38</v>
      </c>
      <c r="C2" s="2" t="n">
        <f aca="false">COUNTIFS(점검표!$B$2:$B$450,A2,점검표!$D$2:$D$450,"video")</f>
        <v>0</v>
      </c>
      <c r="D2" s="2" t="n">
        <f aca="false">COUNTIFS(점검표!$B$2:$B$450,A2,점검표!$D$2:$D$450,"audio")</f>
        <v>0</v>
      </c>
      <c r="E2" s="2" t="n">
        <f aca="false">COUNTIFS(점검표!$B$2:$B$450,A2)</f>
        <v>39</v>
      </c>
      <c r="F2" s="2" t="n">
        <f aca="false">COUNTIFS(점검표!$B$2:$B$450,A2,점검표!$O$2:$O$450,"적합")</f>
        <v>7</v>
      </c>
      <c r="G2" s="2" t="n">
        <f aca="false">COUNTIFS(점검표!$B$2:$B$450,A2,점검표!$O$2:$O$450,"확인필요")</f>
        <v>32</v>
      </c>
      <c r="H2" s="2" t="n">
        <f aca="false">COUNTIFS(점검표!$B$2:$B$450,A2,점검표!$O$2:$O$450,"오류")</f>
        <v>0</v>
      </c>
      <c r="I2" s="2" t="str">
        <f aca="false">IF(H2&gt;0,"오류 수정 필요",IF(G2&gt;0,"확인 필요","적합"))</f>
        <v>확인 필요</v>
      </c>
    </row>
    <row r="3" customFormat="false" ht="15" hidden="false" customHeight="false" outlineLevel="0" collapsed="false">
      <c r="A3" s="2" t="s">
        <v>10</v>
      </c>
      <c r="B3" s="2" t="n">
        <f aca="false">COUNTIFS(점검표!$B$2:$B$450,A3,점검표!$D$2:$D$450,"img")</f>
        <v>24</v>
      </c>
      <c r="C3" s="2" t="n">
        <f aca="false">COUNTIFS(점검표!$B$2:$B$450,A3,점검표!$D$2:$D$450,"video")</f>
        <v>0</v>
      </c>
      <c r="D3" s="2" t="n">
        <f aca="false">COUNTIFS(점검표!$B$2:$B$450,A3,점검표!$D$2:$D$450,"audio")</f>
        <v>0</v>
      </c>
      <c r="E3" s="2" t="n">
        <f aca="false">COUNTIFS(점검표!$B$2:$B$450,A3)</f>
        <v>25</v>
      </c>
      <c r="F3" s="2" t="n">
        <f aca="false">COUNTIFS(점검표!$B$2:$B$450,A3,점검표!$O$2:$O$450,"적합")</f>
        <v>5</v>
      </c>
      <c r="G3" s="2" t="n">
        <f aca="false">COUNTIFS(점검표!$B$2:$B$450,A3,점검표!$O$2:$O$450,"확인필요")</f>
        <v>20</v>
      </c>
      <c r="H3" s="2" t="n">
        <f aca="false">COUNTIFS(점검표!$B$2:$B$450,A3,점검표!$O$2:$O$450,"오류")</f>
        <v>0</v>
      </c>
      <c r="I3" s="2" t="str">
        <f aca="false">IF(H3&gt;0,"오류 수정 필요",IF(G3&gt;0,"확인 필요","적합"))</f>
        <v>확인 필요</v>
      </c>
    </row>
    <row r="4" customFormat="false" ht="15" hidden="false" customHeight="false" outlineLevel="0" collapsed="false">
      <c r="A4" s="2" t="s">
        <v>11</v>
      </c>
      <c r="B4" s="2" t="n">
        <f aca="false">COUNTIFS(점검표!$B$2:$B$450,A4,점검표!$D$2:$D$450,"img")</f>
        <v>26</v>
      </c>
      <c r="C4" s="2" t="n">
        <f aca="false">COUNTIFS(점검표!$B$2:$B$450,A4,점검표!$D$2:$D$450,"video")</f>
        <v>0</v>
      </c>
      <c r="D4" s="2" t="n">
        <f aca="false">COUNTIFS(점검표!$B$2:$B$450,A4,점검표!$D$2:$D$450,"audio")</f>
        <v>0</v>
      </c>
      <c r="E4" s="2" t="n">
        <f aca="false">COUNTIFS(점검표!$B$2:$B$450,A4)</f>
        <v>28</v>
      </c>
      <c r="F4" s="2" t="n">
        <f aca="false">COUNTIFS(점검표!$B$2:$B$450,A4,점검표!$O$2:$O$450,"적합")</f>
        <v>9</v>
      </c>
      <c r="G4" s="2" t="n">
        <f aca="false">COUNTIFS(점검표!$B$2:$B$450,A4,점검표!$O$2:$O$450,"확인필요")</f>
        <v>19</v>
      </c>
      <c r="H4" s="2" t="n">
        <f aca="false">COUNTIFS(점검표!$B$2:$B$450,A4,점검표!$O$2:$O$450,"오류")</f>
        <v>0</v>
      </c>
      <c r="I4" s="2" t="str">
        <f aca="false">IF(H4&gt;0,"오류 수정 필요",IF(G4&gt;0,"확인 필요","적합"))</f>
        <v>확인 필요</v>
      </c>
    </row>
    <row r="5" customFormat="false" ht="15" hidden="false" customHeight="false" outlineLevel="0" collapsed="false">
      <c r="A5" s="2" t="s">
        <v>12</v>
      </c>
      <c r="B5" s="2" t="n">
        <f aca="false">COUNTIFS(점검표!$B$2:$B$450,A5,점검표!$D$2:$D$450,"img")</f>
        <v>9</v>
      </c>
      <c r="C5" s="2" t="n">
        <f aca="false">COUNTIFS(점검표!$B$2:$B$450,A5,점검표!$D$2:$D$450,"video")</f>
        <v>0</v>
      </c>
      <c r="D5" s="2" t="n">
        <f aca="false">COUNTIFS(점검표!$B$2:$B$450,A5,점검표!$D$2:$D$450,"audio")</f>
        <v>0</v>
      </c>
      <c r="E5" s="2" t="n">
        <f aca="false">COUNTIFS(점검표!$B$2:$B$450,A5)</f>
        <v>10</v>
      </c>
      <c r="F5" s="2" t="n">
        <f aca="false">COUNTIFS(점검표!$B$2:$B$450,A5,점검표!$O$2:$O$450,"적합")</f>
        <v>3</v>
      </c>
      <c r="G5" s="2" t="n">
        <f aca="false">COUNTIFS(점검표!$B$2:$B$450,A5,점검표!$O$2:$O$450,"확인필요")</f>
        <v>7</v>
      </c>
      <c r="H5" s="2" t="n">
        <f aca="false">COUNTIFS(점검표!$B$2:$B$450,A5,점검표!$O$2:$O$450,"오류")</f>
        <v>0</v>
      </c>
      <c r="I5" s="2" t="str">
        <f aca="false">IF(H5&gt;0,"오류 수정 필요",IF(G5&gt;0,"확인 필요","적합"))</f>
        <v>확인 필요</v>
      </c>
    </row>
    <row r="6" customFormat="false" ht="15" hidden="false" customHeight="false" outlineLevel="0" collapsed="false">
      <c r="A6" s="2" t="s">
        <v>13</v>
      </c>
      <c r="B6" s="2" t="n">
        <f aca="false">COUNTIFS(점검표!$B$2:$B$450,A6,점검표!$D$2:$D$450,"img")</f>
        <v>30</v>
      </c>
      <c r="C6" s="2" t="n">
        <f aca="false">COUNTIFS(점검표!$B$2:$B$450,A6,점검표!$D$2:$D$450,"video")</f>
        <v>0</v>
      </c>
      <c r="D6" s="2" t="n">
        <f aca="false">COUNTIFS(점검표!$B$2:$B$450,A6,점검표!$D$2:$D$450,"audio")</f>
        <v>0</v>
      </c>
      <c r="E6" s="2" t="n">
        <f aca="false">COUNTIFS(점검표!$B$2:$B$450,A6)</f>
        <v>31</v>
      </c>
      <c r="F6" s="2" t="n">
        <f aca="false">COUNTIFS(점검표!$B$2:$B$450,A6,점검표!$O$2:$O$450,"적합")</f>
        <v>4</v>
      </c>
      <c r="G6" s="2" t="n">
        <f aca="false">COUNTIFS(점검표!$B$2:$B$450,A6,점검표!$O$2:$O$450,"확인필요")</f>
        <v>27</v>
      </c>
      <c r="H6" s="2" t="n">
        <f aca="false">COUNTIFS(점검표!$B$2:$B$450,A6,점검표!$O$2:$O$450,"오류")</f>
        <v>0</v>
      </c>
      <c r="I6" s="2" t="str">
        <f aca="false">IF(H6&gt;0,"오류 수정 필요",IF(G6&gt;0,"확인 필요","적합"))</f>
        <v>확인 필요</v>
      </c>
    </row>
    <row r="7" customFormat="false" ht="15" hidden="false" customHeight="false" outlineLevel="0" collapsed="false">
      <c r="A7" s="2" t="s">
        <v>14</v>
      </c>
      <c r="B7" s="2" t="n">
        <f aca="false">COUNTIFS(점검표!$B$2:$B$450,A7,점검표!$D$2:$D$450,"img")</f>
        <v>10</v>
      </c>
      <c r="C7" s="2" t="n">
        <f aca="false">COUNTIFS(점검표!$B$2:$B$450,A7,점검표!$D$2:$D$450,"video")</f>
        <v>0</v>
      </c>
      <c r="D7" s="2" t="n">
        <f aca="false">COUNTIFS(점검표!$B$2:$B$450,A7,점검표!$D$2:$D$450,"audio")</f>
        <v>0</v>
      </c>
      <c r="E7" s="2" t="n">
        <f aca="false">COUNTIFS(점검표!$B$2:$B$450,A7)</f>
        <v>11</v>
      </c>
      <c r="F7" s="2" t="n">
        <f aca="false">COUNTIFS(점검표!$B$2:$B$450,A7,점검표!$O$2:$O$450,"적합")</f>
        <v>5</v>
      </c>
      <c r="G7" s="2" t="n">
        <f aca="false">COUNTIFS(점검표!$B$2:$B$450,A7,점검표!$O$2:$O$450,"확인필요")</f>
        <v>6</v>
      </c>
      <c r="H7" s="2" t="n">
        <f aca="false">COUNTIFS(점검표!$B$2:$B$450,A7,점검표!$O$2:$O$450,"오류")</f>
        <v>0</v>
      </c>
      <c r="I7" s="2" t="str">
        <f aca="false">IF(H7&gt;0,"오류 수정 필요",IF(G7&gt;0,"확인 필요","적합"))</f>
        <v>확인 필요</v>
      </c>
    </row>
    <row r="8" customFormat="false" ht="15" hidden="false" customHeight="false" outlineLevel="0" collapsed="false">
      <c r="A8" s="2" t="s">
        <v>15</v>
      </c>
      <c r="B8" s="2" t="n">
        <f aca="false">COUNTIFS(점검표!$B$2:$B$450,A8,점검표!$D$2:$D$450,"img")</f>
        <v>19</v>
      </c>
      <c r="C8" s="2" t="n">
        <f aca="false">COUNTIFS(점검표!$B$2:$B$450,A8,점검표!$D$2:$D$450,"video")</f>
        <v>0</v>
      </c>
      <c r="D8" s="2" t="n">
        <f aca="false">COUNTIFS(점검표!$B$2:$B$450,A8,점검표!$D$2:$D$450,"audio")</f>
        <v>0</v>
      </c>
      <c r="E8" s="2" t="n">
        <f aca="false">COUNTIFS(점검표!$B$2:$B$450,A8)</f>
        <v>20</v>
      </c>
      <c r="F8" s="2" t="n">
        <f aca="false">COUNTIFS(점검표!$B$2:$B$450,A8,점검표!$O$2:$O$450,"적합")</f>
        <v>6</v>
      </c>
      <c r="G8" s="2" t="n">
        <f aca="false">COUNTIFS(점검표!$B$2:$B$450,A8,점검표!$O$2:$O$450,"확인필요")</f>
        <v>14</v>
      </c>
      <c r="H8" s="2" t="n">
        <f aca="false">COUNTIFS(점검표!$B$2:$B$450,A8,점검표!$O$2:$O$450,"오류")</f>
        <v>0</v>
      </c>
      <c r="I8" s="2" t="str">
        <f aca="false">IF(H8&gt;0,"오류 수정 필요",IF(G8&gt;0,"확인 필요","적합"))</f>
        <v>확인 필요</v>
      </c>
    </row>
    <row r="9" customFormat="false" ht="15" hidden="false" customHeight="false" outlineLevel="0" collapsed="false">
      <c r="A9" s="2" t="s">
        <v>16</v>
      </c>
      <c r="B9" s="2" t="n">
        <f aca="false">COUNTIFS(점검표!$B$2:$B$450,A9,점검표!$D$2:$D$450,"img")</f>
        <v>22</v>
      </c>
      <c r="C9" s="2" t="n">
        <f aca="false">COUNTIFS(점검표!$B$2:$B$450,A9,점검표!$D$2:$D$450,"video")</f>
        <v>0</v>
      </c>
      <c r="D9" s="2" t="n">
        <f aca="false">COUNTIFS(점검표!$B$2:$B$450,A9,점검표!$D$2:$D$450,"audio")</f>
        <v>0</v>
      </c>
      <c r="E9" s="2" t="n">
        <f aca="false">COUNTIFS(점검표!$B$2:$B$450,A9)</f>
        <v>24</v>
      </c>
      <c r="F9" s="2" t="n">
        <f aca="false">COUNTIFS(점검표!$B$2:$B$450,A9,점검표!$O$2:$O$450,"적합")</f>
        <v>12</v>
      </c>
      <c r="G9" s="2" t="n">
        <f aca="false">COUNTIFS(점검표!$B$2:$B$450,A9,점검표!$O$2:$O$450,"확인필요")</f>
        <v>12</v>
      </c>
      <c r="H9" s="2" t="n">
        <f aca="false">COUNTIFS(점검표!$B$2:$B$450,A9,점검표!$O$2:$O$450,"오류")</f>
        <v>0</v>
      </c>
      <c r="I9" s="2" t="str">
        <f aca="false">IF(H9&gt;0,"오류 수정 필요",IF(G9&gt;0,"확인 필요","적합"))</f>
        <v>확인 필요</v>
      </c>
    </row>
    <row r="10" customFormat="false" ht="15" hidden="false" customHeight="false" outlineLevel="0" collapsed="false">
      <c r="A10" s="2" t="s">
        <v>17</v>
      </c>
      <c r="B10" s="2" t="n">
        <f aca="false">COUNTIFS(점검표!$B$2:$B$450,A10,점검표!$D$2:$D$450,"img")</f>
        <v>10</v>
      </c>
      <c r="C10" s="2" t="n">
        <f aca="false">COUNTIFS(점검표!$B$2:$B$450,A10,점검표!$D$2:$D$450,"video")</f>
        <v>0</v>
      </c>
      <c r="D10" s="2" t="n">
        <f aca="false">COUNTIFS(점검표!$B$2:$B$450,A10,점검표!$D$2:$D$450,"audio")</f>
        <v>0</v>
      </c>
      <c r="E10" s="2" t="n">
        <f aca="false">COUNTIFS(점검표!$B$2:$B$450,A10)</f>
        <v>11</v>
      </c>
      <c r="F10" s="2" t="n">
        <f aca="false">COUNTIFS(점검표!$B$2:$B$450,A10,점검표!$O$2:$O$450,"적합")</f>
        <v>3</v>
      </c>
      <c r="G10" s="2" t="n">
        <f aca="false">COUNTIFS(점검표!$B$2:$B$450,A10,점검표!$O$2:$O$450,"확인필요")</f>
        <v>8</v>
      </c>
      <c r="H10" s="2" t="n">
        <f aca="false">COUNTIFS(점검표!$B$2:$B$450,A10,점검표!$O$2:$O$450,"오류")</f>
        <v>0</v>
      </c>
      <c r="I10" s="2" t="str">
        <f aca="false">IF(H10&gt;0,"오류 수정 필요",IF(G10&gt;0,"확인 필요","적합"))</f>
        <v>확인 필요</v>
      </c>
    </row>
    <row r="11" customFormat="false" ht="15" hidden="false" customHeight="false" outlineLevel="0" collapsed="false">
      <c r="A11" s="2" t="s">
        <v>18</v>
      </c>
      <c r="B11" s="2" t="n">
        <f aca="false">COUNTIFS(점검표!$B$2:$B$450,A11,점검표!$D$2:$D$450,"img")</f>
        <v>9</v>
      </c>
      <c r="C11" s="2" t="n">
        <f aca="false">COUNTIFS(점검표!$B$2:$B$450,A11,점검표!$D$2:$D$450,"video")</f>
        <v>0</v>
      </c>
      <c r="D11" s="2" t="n">
        <f aca="false">COUNTIFS(점검표!$B$2:$B$450,A11,점검표!$D$2:$D$450,"audio")</f>
        <v>0</v>
      </c>
      <c r="E11" s="2" t="n">
        <f aca="false">COUNTIFS(점검표!$B$2:$B$450,A11)</f>
        <v>11</v>
      </c>
      <c r="F11" s="2" t="n">
        <f aca="false">COUNTIFS(점검표!$B$2:$B$450,A11,점검표!$O$2:$O$450,"적합")</f>
        <v>2</v>
      </c>
      <c r="G11" s="2" t="n">
        <f aca="false">COUNTIFS(점검표!$B$2:$B$450,A11,점검표!$O$2:$O$450,"확인필요")</f>
        <v>9</v>
      </c>
      <c r="H11" s="2" t="n">
        <f aca="false">COUNTIFS(점검표!$B$2:$B$450,A11,점검표!$O$2:$O$450,"오류")</f>
        <v>0</v>
      </c>
      <c r="I11" s="2" t="str">
        <f aca="false">IF(H11&gt;0,"오류 수정 필요",IF(G11&gt;0,"확인 필요","적합"))</f>
        <v>확인 필요</v>
      </c>
    </row>
    <row r="12" customFormat="false" ht="15" hidden="false" customHeight="false" outlineLevel="0" collapsed="false">
      <c r="A12" s="2" t="s">
        <v>19</v>
      </c>
      <c r="B12" s="2" t="n">
        <f aca="false">COUNTIFS(점검표!$B$2:$B$450,A12,점검표!$D$2:$D$450,"img")</f>
        <v>10</v>
      </c>
      <c r="C12" s="2" t="n">
        <f aca="false">COUNTIFS(점검표!$B$2:$B$450,A12,점검표!$D$2:$D$450,"video")</f>
        <v>0</v>
      </c>
      <c r="D12" s="2" t="n">
        <f aca="false">COUNTIFS(점검표!$B$2:$B$450,A12,점검표!$D$2:$D$450,"audio")</f>
        <v>0</v>
      </c>
      <c r="E12" s="2" t="n">
        <f aca="false">COUNTIFS(점검표!$B$2:$B$450,A12)</f>
        <v>11</v>
      </c>
      <c r="F12" s="2" t="n">
        <f aca="false">COUNTIFS(점검표!$B$2:$B$450,A12,점검표!$O$2:$O$450,"적합")</f>
        <v>3</v>
      </c>
      <c r="G12" s="2" t="n">
        <f aca="false">COUNTIFS(점검표!$B$2:$B$450,A12,점검표!$O$2:$O$450,"확인필요")</f>
        <v>8</v>
      </c>
      <c r="H12" s="2" t="n">
        <f aca="false">COUNTIFS(점검표!$B$2:$B$450,A12,점검표!$O$2:$O$450,"오류")</f>
        <v>0</v>
      </c>
      <c r="I12" s="2" t="str">
        <f aca="false">IF(H12&gt;0,"오류 수정 필요",IF(G12&gt;0,"확인 필요","적합"))</f>
        <v>확인 필요</v>
      </c>
    </row>
    <row r="13" customFormat="false" ht="15" hidden="false" customHeight="false" outlineLevel="0" collapsed="false">
      <c r="A13" s="2" t="s">
        <v>20</v>
      </c>
      <c r="B13" s="2" t="n">
        <f aca="false">COUNTIFS(점검표!$B$2:$B$450,A13,점검표!$D$2:$D$450,"img")</f>
        <v>10</v>
      </c>
      <c r="C13" s="2" t="n">
        <f aca="false">COUNTIFS(점검표!$B$2:$B$450,A13,점검표!$D$2:$D$450,"video")</f>
        <v>0</v>
      </c>
      <c r="D13" s="2" t="n">
        <f aca="false">COUNTIFS(점검표!$B$2:$B$450,A13,점검표!$D$2:$D$450,"audio")</f>
        <v>0</v>
      </c>
      <c r="E13" s="2" t="n">
        <f aca="false">COUNTIFS(점검표!$B$2:$B$450,A13)</f>
        <v>11</v>
      </c>
      <c r="F13" s="2" t="n">
        <f aca="false">COUNTIFS(점검표!$B$2:$B$450,A13,점검표!$O$2:$O$450,"적합")</f>
        <v>4</v>
      </c>
      <c r="G13" s="2" t="n">
        <f aca="false">COUNTIFS(점검표!$B$2:$B$450,A13,점검표!$O$2:$O$450,"확인필요")</f>
        <v>7</v>
      </c>
      <c r="H13" s="2" t="n">
        <f aca="false">COUNTIFS(점검표!$B$2:$B$450,A13,점검표!$O$2:$O$450,"오류")</f>
        <v>0</v>
      </c>
      <c r="I13" s="2" t="str">
        <f aca="false">IF(H13&gt;0,"오류 수정 필요",IF(G13&gt;0,"확인 필요","적합"))</f>
        <v>확인 필요</v>
      </c>
    </row>
    <row r="14" customFormat="false" ht="15" hidden="false" customHeight="false" outlineLevel="0" collapsed="false">
      <c r="A14" s="2" t="s">
        <v>21</v>
      </c>
      <c r="B14" s="2" t="n">
        <f aca="false">COUNTIFS(점검표!$B$2:$B$450,A14,점검표!$D$2:$D$450,"img")</f>
        <v>11</v>
      </c>
      <c r="C14" s="2" t="n">
        <f aca="false">COUNTIFS(점검표!$B$2:$B$450,A14,점검표!$D$2:$D$450,"video")</f>
        <v>0</v>
      </c>
      <c r="D14" s="2" t="n">
        <f aca="false">COUNTIFS(점검표!$B$2:$B$450,A14,점검표!$D$2:$D$450,"audio")</f>
        <v>0</v>
      </c>
      <c r="E14" s="2" t="n">
        <f aca="false">COUNTIFS(점검표!$B$2:$B$450,A14)</f>
        <v>12</v>
      </c>
      <c r="F14" s="2" t="n">
        <f aca="false">COUNTIFS(점검표!$B$2:$B$450,A14,점검표!$O$2:$O$450,"적합")</f>
        <v>3</v>
      </c>
      <c r="G14" s="2" t="n">
        <f aca="false">COUNTIFS(점검표!$B$2:$B$450,A14,점검표!$O$2:$O$450,"확인필요")</f>
        <v>9</v>
      </c>
      <c r="H14" s="2" t="n">
        <f aca="false">COUNTIFS(점검표!$B$2:$B$450,A14,점검표!$O$2:$O$450,"오류")</f>
        <v>0</v>
      </c>
      <c r="I14" s="2" t="str">
        <f aca="false">IF(H14&gt;0,"오류 수정 필요",IF(G14&gt;0,"확인 필요","적합"))</f>
        <v>확인 필요</v>
      </c>
    </row>
    <row r="15" customFormat="false" ht="15" hidden="false" customHeight="false" outlineLevel="0" collapsed="false">
      <c r="A15" s="2" t="s">
        <v>22</v>
      </c>
      <c r="B15" s="2" t="n">
        <f aca="false">COUNTIFS(점검표!$B$2:$B$450,A15,점검표!$D$2:$D$450,"img")</f>
        <v>16</v>
      </c>
      <c r="C15" s="2" t="n">
        <f aca="false">COUNTIFS(점검표!$B$2:$B$450,A15,점검표!$D$2:$D$450,"video")</f>
        <v>0</v>
      </c>
      <c r="D15" s="2" t="n">
        <f aca="false">COUNTIFS(점검표!$B$2:$B$450,A15,점검표!$D$2:$D$450,"audio")</f>
        <v>0</v>
      </c>
      <c r="E15" s="2" t="n">
        <f aca="false">COUNTIFS(점검표!$B$2:$B$450,A15)</f>
        <v>18</v>
      </c>
      <c r="F15" s="2" t="n">
        <f aca="false">COUNTIFS(점검표!$B$2:$B$450,A15,점검표!$O$2:$O$450,"적합")</f>
        <v>7</v>
      </c>
      <c r="G15" s="2" t="n">
        <f aca="false">COUNTIFS(점검표!$B$2:$B$450,A15,점검표!$O$2:$O$450,"확인필요")</f>
        <v>11</v>
      </c>
      <c r="H15" s="2" t="n">
        <f aca="false">COUNTIFS(점검표!$B$2:$B$450,A15,점검표!$O$2:$O$450,"오류")</f>
        <v>0</v>
      </c>
      <c r="I15" s="2" t="str">
        <f aca="false">IF(H15&gt;0,"오류 수정 필요",IF(G15&gt;0,"확인 필요","적합"))</f>
        <v>확인 필요</v>
      </c>
    </row>
    <row r="16" customFormat="false" ht="15" hidden="false" customHeight="false" outlineLevel="0" collapsed="false">
      <c r="A16" s="2" t="s">
        <v>23</v>
      </c>
      <c r="B16" s="2" t="n">
        <f aca="false">COUNTIFS(점검표!$B$2:$B$450,A16,점검표!$D$2:$D$450,"img")</f>
        <v>6</v>
      </c>
      <c r="C16" s="2" t="n">
        <f aca="false">COUNTIFS(점검표!$B$2:$B$450,A16,점검표!$D$2:$D$450,"video")</f>
        <v>0</v>
      </c>
      <c r="D16" s="2" t="n">
        <f aca="false">COUNTIFS(점검표!$B$2:$B$450,A16,점검표!$D$2:$D$450,"audio")</f>
        <v>0</v>
      </c>
      <c r="E16" s="2" t="n">
        <f aca="false">COUNTIFS(점검표!$B$2:$B$450,A16)</f>
        <v>8</v>
      </c>
      <c r="F16" s="2" t="n">
        <f aca="false">COUNTIFS(점검표!$B$2:$B$450,A16,점검표!$O$2:$O$450,"적합")</f>
        <v>2</v>
      </c>
      <c r="G16" s="2" t="n">
        <f aca="false">COUNTIFS(점검표!$B$2:$B$450,A16,점검표!$O$2:$O$450,"확인필요")</f>
        <v>6</v>
      </c>
      <c r="H16" s="2" t="n">
        <f aca="false">COUNTIFS(점검표!$B$2:$B$450,A16,점검표!$O$2:$O$450,"오류")</f>
        <v>0</v>
      </c>
      <c r="I16" s="2" t="str">
        <f aca="false">IF(H16&gt;0,"오류 수정 필요",IF(G16&gt;0,"확인 필요","적합"))</f>
        <v>확인 필요</v>
      </c>
    </row>
    <row r="17" customFormat="false" ht="15" hidden="false" customHeight="false" outlineLevel="0" collapsed="false">
      <c r="A17" s="2" t="s">
        <v>24</v>
      </c>
      <c r="B17" s="2" t="n">
        <f aca="false">COUNTIFS(점검표!$B$2:$B$450,A17,점검표!$D$2:$D$450,"img")</f>
        <v>30</v>
      </c>
      <c r="C17" s="2" t="n">
        <f aca="false">COUNTIFS(점검표!$B$2:$B$450,A17,점검표!$D$2:$D$450,"video")</f>
        <v>0</v>
      </c>
      <c r="D17" s="2" t="n">
        <f aca="false">COUNTIFS(점검표!$B$2:$B$450,A17,점검표!$D$2:$D$450,"audio")</f>
        <v>0</v>
      </c>
      <c r="E17" s="2" t="n">
        <f aca="false">COUNTIFS(점검표!$B$2:$B$450,A17)</f>
        <v>31</v>
      </c>
      <c r="F17" s="2" t="n">
        <f aca="false">COUNTIFS(점검표!$B$2:$B$450,A17,점검표!$O$2:$O$450,"적합")</f>
        <v>24</v>
      </c>
      <c r="G17" s="2" t="n">
        <f aca="false">COUNTIFS(점검표!$B$2:$B$450,A17,점검표!$O$2:$O$450,"확인필요")</f>
        <v>7</v>
      </c>
      <c r="H17" s="2" t="n">
        <f aca="false">COUNTIFS(점검표!$B$2:$B$450,A17,점검표!$O$2:$O$450,"오류")</f>
        <v>0</v>
      </c>
      <c r="I17" s="2" t="str">
        <f aca="false">IF(H17&gt;0,"오류 수정 필요",IF(G17&gt;0,"확인 필요","적합"))</f>
        <v>확인 필요</v>
      </c>
    </row>
    <row r="18" customFormat="false" ht="15" hidden="false" customHeight="false" outlineLevel="0" collapsed="false">
      <c r="A18" s="2" t="s">
        <v>25</v>
      </c>
      <c r="B18" s="2" t="n">
        <f aca="false">COUNTIFS(점검표!$B$2:$B$450,A18,점검표!$D$2:$D$450,"img")</f>
        <v>12</v>
      </c>
      <c r="C18" s="2" t="n">
        <f aca="false">COUNTIFS(점검표!$B$2:$B$450,A18,점검표!$D$2:$D$450,"video")</f>
        <v>0</v>
      </c>
      <c r="D18" s="2" t="n">
        <f aca="false">COUNTIFS(점검표!$B$2:$B$450,A18,점검표!$D$2:$D$450,"audio")</f>
        <v>0</v>
      </c>
      <c r="E18" s="2" t="n">
        <f aca="false">COUNTIFS(점검표!$B$2:$B$450,A18)</f>
        <v>13</v>
      </c>
      <c r="F18" s="2" t="n">
        <f aca="false">COUNTIFS(점검표!$B$2:$B$450,A18,점검표!$O$2:$O$450,"적합")</f>
        <v>4</v>
      </c>
      <c r="G18" s="2" t="n">
        <f aca="false">COUNTIFS(점검표!$B$2:$B$450,A18,점검표!$O$2:$O$450,"확인필요")</f>
        <v>9</v>
      </c>
      <c r="H18" s="2" t="n">
        <f aca="false">COUNTIFS(점검표!$B$2:$B$450,A18,점검표!$O$2:$O$450,"오류")</f>
        <v>0</v>
      </c>
      <c r="I18" s="2" t="str">
        <f aca="false">IF(H18&gt;0,"오류 수정 필요",IF(G18&gt;0,"확인 필요","적합"))</f>
        <v>확인 필요</v>
      </c>
    </row>
    <row r="19" customFormat="false" ht="15" hidden="false" customHeight="false" outlineLevel="0" collapsed="false">
      <c r="A19" s="2" t="s">
        <v>26</v>
      </c>
      <c r="B19" s="2" t="n">
        <f aca="false">COUNTIFS(점검표!$B$2:$B$450,A19,점검표!$D$2:$D$450,"img")</f>
        <v>17</v>
      </c>
      <c r="C19" s="2" t="n">
        <f aca="false">COUNTIFS(점검표!$B$2:$B$450,A19,점검표!$D$2:$D$450,"video")</f>
        <v>0</v>
      </c>
      <c r="D19" s="2" t="n">
        <f aca="false">COUNTIFS(점검표!$B$2:$B$450,A19,점검표!$D$2:$D$450,"audio")</f>
        <v>0</v>
      </c>
      <c r="E19" s="2" t="n">
        <f aca="false">COUNTIFS(점검표!$B$2:$B$450,A19)</f>
        <v>19</v>
      </c>
      <c r="F19" s="2" t="n">
        <f aca="false">COUNTIFS(점검표!$B$2:$B$450,A19,점검표!$O$2:$O$450,"적합")</f>
        <v>5</v>
      </c>
      <c r="G19" s="2" t="n">
        <f aca="false">COUNTIFS(점검표!$B$2:$B$450,A19,점검표!$O$2:$O$450,"확인필요")</f>
        <v>14</v>
      </c>
      <c r="H19" s="2" t="n">
        <f aca="false">COUNTIFS(점검표!$B$2:$B$450,A19,점검표!$O$2:$O$450,"오류")</f>
        <v>0</v>
      </c>
      <c r="I19" s="2" t="str">
        <f aca="false">IF(H19&gt;0,"오류 수정 필요",IF(G19&gt;0,"확인 필요","적합"))</f>
        <v>확인 필요</v>
      </c>
    </row>
    <row r="20" customFormat="false" ht="15" hidden="false" customHeight="false" outlineLevel="0" collapsed="false">
      <c r="A20" s="2" t="s">
        <v>27</v>
      </c>
      <c r="B20" s="2" t="n">
        <f aca="false">COUNTIFS(점검표!$B$2:$B$450,A20,점검표!$D$2:$D$450,"img")</f>
        <v>23</v>
      </c>
      <c r="C20" s="2" t="n">
        <f aca="false">COUNTIFS(점검표!$B$2:$B$450,A20,점검표!$D$2:$D$450,"video")</f>
        <v>0</v>
      </c>
      <c r="D20" s="2" t="n">
        <f aca="false">COUNTIFS(점검표!$B$2:$B$450,A20,점검표!$D$2:$D$450,"audio")</f>
        <v>0</v>
      </c>
      <c r="E20" s="2" t="n">
        <f aca="false">COUNTIFS(점검표!$B$2:$B$450,A20)</f>
        <v>24</v>
      </c>
      <c r="F20" s="2" t="n">
        <f aca="false">COUNTIFS(점검표!$B$2:$B$450,A20,점검표!$O$2:$O$450,"적합")</f>
        <v>3</v>
      </c>
      <c r="G20" s="2" t="n">
        <f aca="false">COUNTIFS(점검표!$B$2:$B$450,A20,점검표!$O$2:$O$450,"확인필요")</f>
        <v>21</v>
      </c>
      <c r="H20" s="2" t="n">
        <f aca="false">COUNTIFS(점검표!$B$2:$B$450,A20,점검표!$O$2:$O$450,"오류")</f>
        <v>0</v>
      </c>
      <c r="I20" s="2" t="str">
        <f aca="false">IF(H20&gt;0,"오류 수정 필요",IF(G20&gt;0,"확인 필요","적합"))</f>
        <v>확인 필요</v>
      </c>
    </row>
    <row r="21" customFormat="false" ht="15" hidden="false" customHeight="false" outlineLevel="0" collapsed="false">
      <c r="A21" s="2" t="s">
        <v>28</v>
      </c>
      <c r="B21" s="2" t="n">
        <f aca="false">COUNTIFS(점검표!$B$2:$B$450,A21,점검표!$D$2:$D$450,"img")</f>
        <v>5</v>
      </c>
      <c r="C21" s="2" t="n">
        <f aca="false">COUNTIFS(점검표!$B$2:$B$450,A21,점검표!$D$2:$D$450,"video")</f>
        <v>0</v>
      </c>
      <c r="D21" s="2" t="n">
        <f aca="false">COUNTIFS(점검표!$B$2:$B$450,A21,점검표!$D$2:$D$450,"audio")</f>
        <v>0</v>
      </c>
      <c r="E21" s="2" t="n">
        <f aca="false">COUNTIFS(점검표!$B$2:$B$450,A21)</f>
        <v>6</v>
      </c>
      <c r="F21" s="2" t="n">
        <f aca="false">COUNTIFS(점검표!$B$2:$B$450,A21,점검표!$O$2:$O$450,"적합")</f>
        <v>1</v>
      </c>
      <c r="G21" s="2" t="n">
        <f aca="false">COUNTIFS(점검표!$B$2:$B$450,A21,점검표!$O$2:$O$450,"확인필요")</f>
        <v>5</v>
      </c>
      <c r="H21" s="2" t="n">
        <f aca="false">COUNTIFS(점검표!$B$2:$B$450,A21,점검표!$O$2:$O$450,"오류")</f>
        <v>0</v>
      </c>
      <c r="I21" s="2" t="str">
        <f aca="false">IF(H21&gt;0,"오류 수정 필요",IF(G21&gt;0,"확인 필요","적합"))</f>
        <v>확인 필요</v>
      </c>
    </row>
    <row r="22" customFormat="false" ht="15" hidden="false" customHeight="false" outlineLevel="0" collapsed="false">
      <c r="A22" s="2" t="s">
        <v>29</v>
      </c>
      <c r="B22" s="2" t="n">
        <f aca="false">COUNTIFS(점검표!$B$2:$B$450,A22,점검표!$D$2:$D$450,"img")</f>
        <v>19</v>
      </c>
      <c r="C22" s="2" t="n">
        <f aca="false">COUNTIFS(점검표!$B$2:$B$450,A22,점검표!$D$2:$D$450,"video")</f>
        <v>0</v>
      </c>
      <c r="D22" s="2" t="n">
        <f aca="false">COUNTIFS(점검표!$B$2:$B$450,A22,점검표!$D$2:$D$450,"audio")</f>
        <v>0</v>
      </c>
      <c r="E22" s="2" t="n">
        <f aca="false">COUNTIFS(점검표!$B$2:$B$450,A22)</f>
        <v>20</v>
      </c>
      <c r="F22" s="2" t="n">
        <f aca="false">COUNTIFS(점검표!$B$2:$B$450,A22,점검표!$O$2:$O$450,"적합")</f>
        <v>5</v>
      </c>
      <c r="G22" s="2" t="n">
        <f aca="false">COUNTIFS(점검표!$B$2:$B$450,A22,점검표!$O$2:$O$450,"확인필요")</f>
        <v>15</v>
      </c>
      <c r="H22" s="2" t="n">
        <f aca="false">COUNTIFS(점검표!$B$2:$B$450,A22,점검표!$O$2:$O$450,"오류")</f>
        <v>0</v>
      </c>
      <c r="I22" s="2" t="str">
        <f aca="false">IF(H22&gt;0,"오류 수정 필요",IF(G22&gt;0,"확인 필요","적합"))</f>
        <v>확인 필요</v>
      </c>
    </row>
    <row r="23" customFormat="false" ht="15" hidden="false" customHeight="false" outlineLevel="0" collapsed="false">
      <c r="A23" s="2" t="s">
        <v>30</v>
      </c>
      <c r="B23" s="2" t="n">
        <f aca="false">COUNTIFS(점검표!$B$2:$B$450,A23,점검표!$D$2:$D$450,"img")</f>
        <v>57</v>
      </c>
      <c r="C23" s="2" t="n">
        <f aca="false">COUNTIFS(점검표!$B$2:$B$450,A23,점검표!$D$2:$D$450,"video")</f>
        <v>0</v>
      </c>
      <c r="D23" s="2" t="n">
        <f aca="false">COUNTIFS(점검표!$B$2:$B$450,A23,점검표!$D$2:$D$450,"audio")</f>
        <v>0</v>
      </c>
      <c r="E23" s="2" t="n">
        <f aca="false">COUNTIFS(점검표!$B$2:$B$450,A23)</f>
        <v>59</v>
      </c>
      <c r="F23" s="2" t="n">
        <f aca="false">COUNTIFS(점검표!$B$2:$B$450,A23,점검표!$O$2:$O$450,"적합")</f>
        <v>3</v>
      </c>
      <c r="G23" s="2" t="n">
        <f aca="false">COUNTIFS(점검표!$B$2:$B$450,A23,점검표!$O$2:$O$450,"확인필요")</f>
        <v>56</v>
      </c>
      <c r="H23" s="2" t="n">
        <f aca="false">COUNTIFS(점검표!$B$2:$B$450,A23,점검표!$O$2:$O$450,"오류")</f>
        <v>0</v>
      </c>
      <c r="I23" s="2" t="str">
        <f aca="false">IF(H23&gt;0,"오류 수정 필요",IF(G23&gt;0,"확인 필요","적합"))</f>
        <v>확인 필요</v>
      </c>
    </row>
    <row r="24" customFormat="false" ht="15" hidden="false" customHeight="false" outlineLevel="0" collapsed="false">
      <c r="A24" s="2" t="s">
        <v>31</v>
      </c>
      <c r="B24" s="2" t="n">
        <f aca="false">COUNTIFS(점검표!$B$2:$B$450,A24,점검표!$D$2:$D$450,"img")</f>
        <v>6</v>
      </c>
      <c r="C24" s="2" t="n">
        <f aca="false">COUNTIFS(점검표!$B$2:$B$450,A24,점검표!$D$2:$D$450,"video")</f>
        <v>0</v>
      </c>
      <c r="D24" s="2" t="n">
        <f aca="false">COUNTIFS(점검표!$B$2:$B$450,A24,점검표!$D$2:$D$450,"audio")</f>
        <v>0</v>
      </c>
      <c r="E24" s="2" t="n">
        <f aca="false">COUNTIFS(점검표!$B$2:$B$450,A24)</f>
        <v>7</v>
      </c>
      <c r="F24" s="2" t="n">
        <f aca="false">COUNTIFS(점검표!$B$2:$B$450,A24,점검표!$O$2:$O$450,"적합")</f>
        <v>1</v>
      </c>
      <c r="G24" s="2" t="n">
        <f aca="false">COUNTIFS(점검표!$B$2:$B$450,A24,점검표!$O$2:$O$450,"확인필요")</f>
        <v>6</v>
      </c>
      <c r="H24" s="2" t="n">
        <f aca="false">COUNTIFS(점검표!$B$2:$B$450,A24,점검표!$O$2:$O$450,"오류")</f>
        <v>0</v>
      </c>
      <c r="I24" s="2" t="str">
        <f aca="false">IF(H24&gt;0,"오류 수정 필요",IF(G24&gt;0,"확인 필요","적합"))</f>
        <v>확인 필요</v>
      </c>
    </row>
    <row r="25" customFormat="false" ht="15" hidden="false" customHeight="false" outlineLevel="0" collapsed="false">
      <c r="A25" s="3" t="s">
        <v>32</v>
      </c>
      <c r="B25" s="3" t="n">
        <f aca="false">SUM(B2:B24)</f>
        <v>419</v>
      </c>
      <c r="C25" s="3" t="n">
        <f aca="false">SUM(C2:C24)</f>
        <v>0</v>
      </c>
      <c r="D25" s="3" t="n">
        <f aca="false">SUM(D2:D24)</f>
        <v>0</v>
      </c>
      <c r="E25" s="3" t="n">
        <f aca="false">SUM(E2:E24)</f>
        <v>449</v>
      </c>
      <c r="F25" s="3" t="n">
        <f aca="false">SUM(F2:F24)</f>
        <v>121</v>
      </c>
      <c r="G25" s="3" t="n">
        <f aca="false">SUM(G2:G24)</f>
        <v>328</v>
      </c>
      <c r="H25" s="3" t="n">
        <f aca="false">SUM(H2:H24)</f>
        <v>0</v>
      </c>
      <c r="I2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11"/>
    <col collapsed="false" customWidth="true" hidden="false" outlineLevel="0" max="14" min="14" style="0" width="34"/>
    <col collapsed="false" customWidth="true" hidden="false" outlineLevel="0" max="15" min="15" style="0" width="10"/>
    <col collapsed="false" customWidth="true" hidden="false" outlineLevel="0" max="16" min="16" style="0" width="60"/>
    <col collapsed="false" customWidth="true" hidden="false" outlineLevel="0" max="17" min="17" style="0" width="28"/>
    <col collapsed="false" customWidth="true" hidden="false" outlineLevel="0" max="18" min="18" style="0" width="70"/>
  </cols>
  <sheetData>
    <row r="1" customFormat="false" ht="31.5" hidden="false" customHeight="true" outlineLevel="0" collapsed="false">
      <c r="A1" s="4" t="s">
        <v>33</v>
      </c>
      <c r="B1" s="5" t="s">
        <v>0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4" t="s">
        <v>45</v>
      </c>
      <c r="O1" s="5" t="s">
        <v>46</v>
      </c>
      <c r="P1" s="5" t="s">
        <v>47</v>
      </c>
      <c r="Q1" s="5" t="s">
        <v>48</v>
      </c>
      <c r="R1" s="5" t="s">
        <v>49</v>
      </c>
    </row>
    <row r="2" customFormat="false" ht="15" hidden="false" customHeight="false" outlineLevel="0" collapsed="false">
      <c r="A2" s="6" t="n">
        <v>1</v>
      </c>
      <c r="B2" s="6" t="s">
        <v>9</v>
      </c>
      <c r="C2" s="6" t="s">
        <v>50</v>
      </c>
      <c r="D2" s="6" t="s">
        <v>51</v>
      </c>
      <c r="E2" s="6" t="s">
        <v>52</v>
      </c>
      <c r="F2" s="7" t="s">
        <v>53</v>
      </c>
      <c r="G2" s="6" t="s">
        <v>54</v>
      </c>
      <c r="H2" s="6" t="n">
        <v>200</v>
      </c>
      <c r="I2" s="6" t="n">
        <v>200</v>
      </c>
      <c r="J2" s="6" t="n">
        <v>3.9</v>
      </c>
      <c r="K2" s="6" t="n">
        <v>442</v>
      </c>
      <c r="L2" s="6" t="n">
        <v>129</v>
      </c>
      <c r="M2" s="6" t="n">
        <f aca="false">IF(AND(ISNUMBER(K2),ISNUMBER(L2)),ROUND(K2/L2,2),"")</f>
        <v>3.43</v>
      </c>
      <c r="N2" s="7" t="s">
        <v>55</v>
      </c>
      <c r="O2" s="8" t="s">
        <v>6</v>
      </c>
      <c r="P2" s="9" t="s">
        <v>56</v>
      </c>
      <c r="Q2" s="7"/>
      <c r="R2" s="6" t="s">
        <v>57</v>
      </c>
    </row>
    <row r="3" customFormat="false" ht="29.85" hidden="false" customHeight="false" outlineLevel="0" collapsed="false">
      <c r="A3" s="6" t="n">
        <v>2</v>
      </c>
      <c r="B3" s="6" t="s">
        <v>9</v>
      </c>
      <c r="C3" s="10" t="s">
        <v>58</v>
      </c>
      <c r="D3" s="6" t="s">
        <v>51</v>
      </c>
      <c r="E3" s="6" t="s">
        <v>59</v>
      </c>
      <c r="F3" s="7" t="s">
        <v>60</v>
      </c>
      <c r="G3" s="6" t="s">
        <v>54</v>
      </c>
      <c r="H3" s="6" t="n">
        <v>200</v>
      </c>
      <c r="I3" s="6" t="n">
        <v>200</v>
      </c>
      <c r="J3" s="6" t="n">
        <v>228.8</v>
      </c>
      <c r="K3" s="6" t="n">
        <v>1920</v>
      </c>
      <c r="L3" s="6" t="n">
        <v>654</v>
      </c>
      <c r="M3" s="6" t="n">
        <f aca="false">IF(AND(ISNUMBER(K3),ISNUMBER(L3)),ROUND(K3/L3,2),"")</f>
        <v>2.94</v>
      </c>
      <c r="N3" s="9" t="s">
        <v>61</v>
      </c>
      <c r="O3" s="8" t="s">
        <v>6</v>
      </c>
      <c r="P3" s="9" t="s">
        <v>62</v>
      </c>
      <c r="Q3" s="7"/>
      <c r="R3" s="6" t="s">
        <v>63</v>
      </c>
    </row>
    <row r="4" customFormat="false" ht="15" hidden="false" customHeight="false" outlineLevel="0" collapsed="false">
      <c r="A4" s="6" t="n">
        <v>3</v>
      </c>
      <c r="B4" s="6" t="s">
        <v>9</v>
      </c>
      <c r="C4" s="10" t="s">
        <v>58</v>
      </c>
      <c r="D4" s="6" t="s">
        <v>51</v>
      </c>
      <c r="E4" s="6" t="s">
        <v>64</v>
      </c>
      <c r="F4" s="9" t="s">
        <v>65</v>
      </c>
      <c r="G4" s="6" t="s">
        <v>54</v>
      </c>
      <c r="H4" s="6" t="n">
        <v>200</v>
      </c>
      <c r="I4" s="6" t="n">
        <v>200</v>
      </c>
      <c r="J4" s="6" t="n">
        <v>173.2</v>
      </c>
      <c r="K4" s="6" t="n">
        <v>1512</v>
      </c>
      <c r="L4" s="6" t="n">
        <v>1040</v>
      </c>
      <c r="M4" s="6" t="n">
        <f aca="false">IF(AND(ISNUMBER(K4),ISNUMBER(L4)),ROUND(K4/L4,2),"")</f>
        <v>1.45</v>
      </c>
      <c r="N4" s="9" t="s">
        <v>66</v>
      </c>
      <c r="O4" s="8" t="s">
        <v>6</v>
      </c>
      <c r="P4" s="9" t="s">
        <v>67</v>
      </c>
      <c r="Q4" s="7"/>
      <c r="R4" s="6" t="s">
        <v>68</v>
      </c>
    </row>
    <row r="5" customFormat="false" ht="15" hidden="false" customHeight="false" outlineLevel="0" collapsed="false">
      <c r="A5" s="6" t="n">
        <v>4</v>
      </c>
      <c r="B5" s="6" t="s">
        <v>9</v>
      </c>
      <c r="C5" s="10" t="s">
        <v>58</v>
      </c>
      <c r="D5" s="6" t="s">
        <v>51</v>
      </c>
      <c r="E5" s="6" t="s">
        <v>64</v>
      </c>
      <c r="F5" s="9" t="s">
        <v>69</v>
      </c>
      <c r="G5" s="6" t="s">
        <v>54</v>
      </c>
      <c r="H5" s="6" t="n">
        <v>200</v>
      </c>
      <c r="I5" s="6" t="n">
        <v>200</v>
      </c>
      <c r="J5" s="6" t="n">
        <v>150.9</v>
      </c>
      <c r="K5" s="6" t="n">
        <v>1672</v>
      </c>
      <c r="L5" s="6" t="n">
        <v>941</v>
      </c>
      <c r="M5" s="6" t="n">
        <f aca="false">IF(AND(ISNUMBER(K5),ISNUMBER(L5)),ROUND(K5/L5,2),"")</f>
        <v>1.78</v>
      </c>
      <c r="N5" s="9" t="s">
        <v>70</v>
      </c>
      <c r="O5" s="8" t="s">
        <v>6</v>
      </c>
      <c r="P5" s="9" t="s">
        <v>67</v>
      </c>
      <c r="Q5" s="7"/>
      <c r="R5" s="6" t="s">
        <v>71</v>
      </c>
    </row>
    <row r="6" customFormat="false" ht="29.85" hidden="false" customHeight="false" outlineLevel="0" collapsed="false">
      <c r="A6" s="6" t="n">
        <v>5</v>
      </c>
      <c r="B6" s="6" t="s">
        <v>9</v>
      </c>
      <c r="C6" s="10" t="s">
        <v>58</v>
      </c>
      <c r="D6" s="6" t="s">
        <v>51</v>
      </c>
      <c r="E6" s="6" t="s">
        <v>64</v>
      </c>
      <c r="F6" s="9" t="s">
        <v>72</v>
      </c>
      <c r="G6" s="6" t="s">
        <v>54</v>
      </c>
      <c r="H6" s="6" t="n">
        <v>200</v>
      </c>
      <c r="I6" s="6" t="n">
        <v>200</v>
      </c>
      <c r="J6" s="6" t="n">
        <v>124.9</v>
      </c>
      <c r="K6" s="6" t="n">
        <v>1672</v>
      </c>
      <c r="L6" s="6" t="n">
        <v>941</v>
      </c>
      <c r="M6" s="6" t="n">
        <f aca="false">IF(AND(ISNUMBER(K6),ISNUMBER(L6)),ROUND(K6/L6,2),"")</f>
        <v>1.78</v>
      </c>
      <c r="N6" s="9" t="s">
        <v>73</v>
      </c>
      <c r="O6" s="8" t="s">
        <v>6</v>
      </c>
      <c r="P6" s="9" t="s">
        <v>74</v>
      </c>
      <c r="Q6" s="7"/>
      <c r="R6" s="6" t="s">
        <v>75</v>
      </c>
    </row>
    <row r="7" customFormat="false" ht="15" hidden="false" customHeight="false" outlineLevel="0" collapsed="false">
      <c r="A7" s="6" t="n">
        <v>6</v>
      </c>
      <c r="B7" s="6" t="s">
        <v>9</v>
      </c>
      <c r="C7" s="10" t="s">
        <v>58</v>
      </c>
      <c r="D7" s="6" t="s">
        <v>51</v>
      </c>
      <c r="E7" s="6" t="s">
        <v>64</v>
      </c>
      <c r="F7" s="9" t="s">
        <v>76</v>
      </c>
      <c r="G7" s="6" t="s">
        <v>54</v>
      </c>
      <c r="H7" s="6" t="n">
        <v>200</v>
      </c>
      <c r="I7" s="6" t="n">
        <v>200</v>
      </c>
      <c r="J7" s="6" t="n">
        <v>90.7</v>
      </c>
      <c r="K7" s="6" t="n">
        <v>1536</v>
      </c>
      <c r="L7" s="6" t="n">
        <v>1024</v>
      </c>
      <c r="M7" s="6" t="n">
        <f aca="false">IF(AND(ISNUMBER(K7),ISNUMBER(L7)),ROUND(K7/L7,2),"")</f>
        <v>1.5</v>
      </c>
      <c r="N7" s="7" t="s">
        <v>77</v>
      </c>
      <c r="O7" s="8" t="s">
        <v>6</v>
      </c>
      <c r="P7" s="9" t="s">
        <v>67</v>
      </c>
      <c r="Q7" s="7"/>
      <c r="R7" s="6" t="s">
        <v>78</v>
      </c>
    </row>
    <row r="8" customFormat="false" ht="15" hidden="false" customHeight="false" outlineLevel="0" collapsed="false">
      <c r="A8" s="6" t="n">
        <v>7</v>
      </c>
      <c r="B8" s="6" t="s">
        <v>9</v>
      </c>
      <c r="C8" s="10" t="s">
        <v>58</v>
      </c>
      <c r="D8" s="6" t="s">
        <v>51</v>
      </c>
      <c r="E8" s="6" t="s">
        <v>64</v>
      </c>
      <c r="F8" s="7" t="s">
        <v>79</v>
      </c>
      <c r="G8" s="6" t="s">
        <v>54</v>
      </c>
      <c r="H8" s="6" t="n">
        <v>200</v>
      </c>
      <c r="I8" s="6" t="n">
        <v>200</v>
      </c>
      <c r="J8" s="6" t="n">
        <v>101</v>
      </c>
      <c r="K8" s="6" t="n">
        <v>1376</v>
      </c>
      <c r="L8" s="6" t="n">
        <v>768</v>
      </c>
      <c r="M8" s="6" t="n">
        <f aca="false">IF(AND(ISNUMBER(K8),ISNUMBER(L8)),ROUND(K8/L8,2),"")</f>
        <v>1.79</v>
      </c>
      <c r="N8" s="9" t="s">
        <v>80</v>
      </c>
      <c r="O8" s="11" t="s">
        <v>5</v>
      </c>
      <c r="P8" s="7"/>
      <c r="Q8" s="7"/>
      <c r="R8" s="6" t="s">
        <v>81</v>
      </c>
    </row>
    <row r="9" customFormat="false" ht="15" hidden="false" customHeight="false" outlineLevel="0" collapsed="false">
      <c r="A9" s="6" t="n">
        <v>8</v>
      </c>
      <c r="B9" s="6" t="s">
        <v>9</v>
      </c>
      <c r="C9" s="10" t="s">
        <v>58</v>
      </c>
      <c r="D9" s="6" t="s">
        <v>51</v>
      </c>
      <c r="E9" s="6" t="s">
        <v>64</v>
      </c>
      <c r="F9" s="9" t="s">
        <v>82</v>
      </c>
      <c r="G9" s="6" t="s">
        <v>54</v>
      </c>
      <c r="H9" s="6" t="n">
        <v>200</v>
      </c>
      <c r="I9" s="6" t="n">
        <v>200</v>
      </c>
      <c r="J9" s="6" t="n">
        <v>335.5</v>
      </c>
      <c r="K9" s="6" t="n">
        <v>1672</v>
      </c>
      <c r="L9" s="6" t="n">
        <v>941</v>
      </c>
      <c r="M9" s="6" t="n">
        <f aca="false">IF(AND(ISNUMBER(K9),ISNUMBER(L9)),ROUND(K9/L9,2),"")</f>
        <v>1.78</v>
      </c>
      <c r="N9" s="9" t="s">
        <v>83</v>
      </c>
      <c r="O9" s="8" t="s">
        <v>6</v>
      </c>
      <c r="P9" s="9" t="s">
        <v>67</v>
      </c>
      <c r="Q9" s="7"/>
      <c r="R9" s="6" t="s">
        <v>84</v>
      </c>
    </row>
    <row r="10" customFormat="false" ht="15" hidden="false" customHeight="false" outlineLevel="0" collapsed="false">
      <c r="A10" s="6" t="n">
        <v>9</v>
      </c>
      <c r="B10" s="6" t="s">
        <v>9</v>
      </c>
      <c r="C10" s="10" t="s">
        <v>58</v>
      </c>
      <c r="D10" s="6" t="s">
        <v>51</v>
      </c>
      <c r="E10" s="6" t="s">
        <v>64</v>
      </c>
      <c r="F10" s="7" t="s">
        <v>85</v>
      </c>
      <c r="G10" s="6" t="s">
        <v>54</v>
      </c>
      <c r="H10" s="6" t="n">
        <v>200</v>
      </c>
      <c r="I10" s="6" t="n">
        <v>200</v>
      </c>
      <c r="J10" s="6" t="n">
        <v>220</v>
      </c>
      <c r="K10" s="6" t="n">
        <v>1916</v>
      </c>
      <c r="L10" s="6" t="n">
        <v>821</v>
      </c>
      <c r="M10" s="6" t="n">
        <f aca="false">IF(AND(ISNUMBER(K10),ISNUMBER(L10)),ROUND(K10/L10,2),"")</f>
        <v>2.33</v>
      </c>
      <c r="N10" s="9" t="s">
        <v>86</v>
      </c>
      <c r="O10" s="8" t="s">
        <v>6</v>
      </c>
      <c r="P10" s="9" t="s">
        <v>67</v>
      </c>
      <c r="Q10" s="7"/>
      <c r="R10" s="6" t="s">
        <v>87</v>
      </c>
    </row>
    <row r="11" customFormat="false" ht="15" hidden="false" customHeight="false" outlineLevel="0" collapsed="false">
      <c r="A11" s="6" t="n">
        <v>10</v>
      </c>
      <c r="B11" s="6" t="s">
        <v>9</v>
      </c>
      <c r="C11" s="10" t="s">
        <v>58</v>
      </c>
      <c r="D11" s="6" t="s">
        <v>51</v>
      </c>
      <c r="E11" s="6" t="s">
        <v>64</v>
      </c>
      <c r="F11" s="7" t="s">
        <v>88</v>
      </c>
      <c r="G11" s="6" t="s">
        <v>54</v>
      </c>
      <c r="H11" s="6" t="n">
        <v>200</v>
      </c>
      <c r="I11" s="6" t="n">
        <v>200</v>
      </c>
      <c r="J11" s="6" t="n">
        <v>254</v>
      </c>
      <c r="K11" s="6" t="n">
        <v>1915</v>
      </c>
      <c r="L11" s="6" t="n">
        <v>821</v>
      </c>
      <c r="M11" s="6" t="n">
        <f aca="false">IF(AND(ISNUMBER(K11),ISNUMBER(L11)),ROUND(K11/L11,2),"")</f>
        <v>2.33</v>
      </c>
      <c r="N11" s="7" t="s">
        <v>89</v>
      </c>
      <c r="O11" s="11" t="s">
        <v>5</v>
      </c>
      <c r="P11" s="7"/>
      <c r="Q11" s="7"/>
      <c r="R11" s="6" t="s">
        <v>90</v>
      </c>
    </row>
    <row r="12" customFormat="false" ht="29.85" hidden="false" customHeight="false" outlineLevel="0" collapsed="false">
      <c r="A12" s="6" t="n">
        <v>11</v>
      </c>
      <c r="B12" s="6" t="s">
        <v>9</v>
      </c>
      <c r="C12" s="10" t="s">
        <v>58</v>
      </c>
      <c r="D12" s="6" t="s">
        <v>51</v>
      </c>
      <c r="E12" s="6" t="s">
        <v>64</v>
      </c>
      <c r="F12" s="9" t="s">
        <v>72</v>
      </c>
      <c r="G12" s="6" t="s">
        <v>54</v>
      </c>
      <c r="H12" s="6" t="n">
        <v>200</v>
      </c>
      <c r="I12" s="6" t="n">
        <v>200</v>
      </c>
      <c r="J12" s="6" t="n">
        <v>124.9</v>
      </c>
      <c r="K12" s="6" t="n">
        <v>1672</v>
      </c>
      <c r="L12" s="6" t="n">
        <v>941</v>
      </c>
      <c r="M12" s="6" t="n">
        <f aca="false">IF(AND(ISNUMBER(K12),ISNUMBER(L12)),ROUND(K12/L12,2),"")</f>
        <v>1.78</v>
      </c>
      <c r="N12" s="9" t="s">
        <v>91</v>
      </c>
      <c r="O12" s="8" t="s">
        <v>6</v>
      </c>
      <c r="P12" s="9" t="s">
        <v>74</v>
      </c>
      <c r="Q12" s="7"/>
      <c r="R12" s="6" t="s">
        <v>75</v>
      </c>
    </row>
    <row r="13" customFormat="false" ht="29.85" hidden="false" customHeight="false" outlineLevel="0" collapsed="false">
      <c r="A13" s="6" t="n">
        <v>12</v>
      </c>
      <c r="B13" s="6" t="s">
        <v>9</v>
      </c>
      <c r="C13" s="10" t="s">
        <v>58</v>
      </c>
      <c r="D13" s="6" t="s">
        <v>51</v>
      </c>
      <c r="E13" s="6" t="s">
        <v>64</v>
      </c>
      <c r="F13" s="7" t="s">
        <v>92</v>
      </c>
      <c r="G13" s="6" t="s">
        <v>54</v>
      </c>
      <c r="H13" s="6" t="n">
        <v>200</v>
      </c>
      <c r="I13" s="6" t="n">
        <v>200</v>
      </c>
      <c r="J13" s="6" t="n">
        <v>36.9</v>
      </c>
      <c r="K13" s="6" t="n">
        <v>569</v>
      </c>
      <c r="L13" s="6" t="n">
        <v>712</v>
      </c>
      <c r="M13" s="6" t="n">
        <f aca="false">IF(AND(ISNUMBER(K13),ISNUMBER(L13)),ROUND(K13/L13,2),"")</f>
        <v>0.8</v>
      </c>
      <c r="N13" s="9" t="s">
        <v>93</v>
      </c>
      <c r="O13" s="8" t="s">
        <v>6</v>
      </c>
      <c r="P13" s="9" t="s">
        <v>94</v>
      </c>
      <c r="Q13" s="7"/>
      <c r="R13" s="6" t="s">
        <v>95</v>
      </c>
    </row>
    <row r="14" customFormat="false" ht="15" hidden="false" customHeight="false" outlineLevel="0" collapsed="false">
      <c r="A14" s="6" t="n">
        <v>13</v>
      </c>
      <c r="B14" s="6" t="s">
        <v>9</v>
      </c>
      <c r="C14" s="10" t="s">
        <v>58</v>
      </c>
      <c r="D14" s="6" t="s">
        <v>51</v>
      </c>
      <c r="E14" s="6" t="s">
        <v>64</v>
      </c>
      <c r="F14" s="7" t="s">
        <v>96</v>
      </c>
      <c r="G14" s="6" t="s">
        <v>54</v>
      </c>
      <c r="H14" s="6" t="n">
        <v>200</v>
      </c>
      <c r="I14" s="6" t="n">
        <v>200</v>
      </c>
      <c r="J14" s="6" t="n">
        <v>15.2</v>
      </c>
      <c r="K14" s="6" t="n">
        <v>520</v>
      </c>
      <c r="L14" s="6" t="n">
        <v>728</v>
      </c>
      <c r="M14" s="6" t="n">
        <f aca="false">IF(AND(ISNUMBER(K14),ISNUMBER(L14)),ROUND(K14/L14,2),"")</f>
        <v>0.71</v>
      </c>
      <c r="N14" s="9" t="s">
        <v>97</v>
      </c>
      <c r="O14" s="8" t="s">
        <v>6</v>
      </c>
      <c r="P14" s="9" t="s">
        <v>98</v>
      </c>
      <c r="Q14" s="7"/>
      <c r="R14" s="6" t="s">
        <v>99</v>
      </c>
    </row>
    <row r="15" customFormat="false" ht="15" hidden="false" customHeight="false" outlineLevel="0" collapsed="false">
      <c r="A15" s="6" t="n">
        <v>14</v>
      </c>
      <c r="B15" s="6" t="s">
        <v>9</v>
      </c>
      <c r="C15" s="10" t="s">
        <v>58</v>
      </c>
      <c r="D15" s="6" t="s">
        <v>51</v>
      </c>
      <c r="E15" s="6" t="s">
        <v>64</v>
      </c>
      <c r="F15" s="9" t="s">
        <v>100</v>
      </c>
      <c r="G15" s="6" t="s">
        <v>54</v>
      </c>
      <c r="H15" s="6" t="n">
        <v>200</v>
      </c>
      <c r="I15" s="6" t="n">
        <v>200</v>
      </c>
      <c r="J15" s="6" t="n">
        <v>8</v>
      </c>
      <c r="K15" s="6" t="n">
        <v>335</v>
      </c>
      <c r="L15" s="6" t="n">
        <v>304</v>
      </c>
      <c r="M15" s="6" t="n">
        <f aca="false">IF(AND(ISNUMBER(K15),ISNUMBER(L15)),ROUND(K15/L15,2),"")</f>
        <v>1.1</v>
      </c>
      <c r="N15" s="9" t="s">
        <v>101</v>
      </c>
      <c r="O15" s="8" t="s">
        <v>6</v>
      </c>
      <c r="P15" s="9" t="s">
        <v>67</v>
      </c>
      <c r="Q15" s="7"/>
      <c r="R15" s="6" t="s">
        <v>102</v>
      </c>
    </row>
    <row r="16" customFormat="false" ht="29.85" hidden="false" customHeight="false" outlineLevel="0" collapsed="false">
      <c r="A16" s="6" t="n">
        <v>15</v>
      </c>
      <c r="B16" s="6" t="s">
        <v>9</v>
      </c>
      <c r="C16" s="10" t="s">
        <v>58</v>
      </c>
      <c r="D16" s="6" t="s">
        <v>51</v>
      </c>
      <c r="E16" s="6" t="s">
        <v>64</v>
      </c>
      <c r="F16" s="7" t="s">
        <v>92</v>
      </c>
      <c r="G16" s="6" t="s">
        <v>54</v>
      </c>
      <c r="H16" s="6" t="n">
        <v>200</v>
      </c>
      <c r="I16" s="6" t="n">
        <v>200</v>
      </c>
      <c r="J16" s="6" t="n">
        <v>36.9</v>
      </c>
      <c r="K16" s="6" t="n">
        <v>569</v>
      </c>
      <c r="L16" s="6" t="n">
        <v>712</v>
      </c>
      <c r="M16" s="6" t="n">
        <f aca="false">IF(AND(ISNUMBER(K16),ISNUMBER(L16)),ROUND(K16/L16,2),"")</f>
        <v>0.8</v>
      </c>
      <c r="N16" s="7" t="s">
        <v>103</v>
      </c>
      <c r="O16" s="8" t="s">
        <v>6</v>
      </c>
      <c r="P16" s="9" t="s">
        <v>94</v>
      </c>
      <c r="Q16" s="7"/>
      <c r="R16" s="6" t="s">
        <v>95</v>
      </c>
    </row>
    <row r="17" customFormat="false" ht="15" hidden="false" customHeight="false" outlineLevel="0" collapsed="false">
      <c r="A17" s="6" t="n">
        <v>16</v>
      </c>
      <c r="B17" s="6" t="s">
        <v>9</v>
      </c>
      <c r="C17" s="10" t="s">
        <v>58</v>
      </c>
      <c r="D17" s="6" t="s">
        <v>51</v>
      </c>
      <c r="E17" s="6" t="s">
        <v>64</v>
      </c>
      <c r="F17" s="7" t="s">
        <v>104</v>
      </c>
      <c r="G17" s="6" t="s">
        <v>54</v>
      </c>
      <c r="H17" s="6" t="n">
        <v>200</v>
      </c>
      <c r="I17" s="6" t="n">
        <v>200</v>
      </c>
      <c r="J17" s="6" t="n">
        <v>26.2</v>
      </c>
      <c r="K17" s="6" t="n">
        <v>1920</v>
      </c>
      <c r="L17" s="6" t="n">
        <v>774</v>
      </c>
      <c r="M17" s="6" t="n">
        <f aca="false">IF(AND(ISNUMBER(K17),ISNUMBER(L17)),ROUND(K17/L17,2),"")</f>
        <v>2.48</v>
      </c>
      <c r="N17" s="7" t="s">
        <v>105</v>
      </c>
      <c r="O17" s="11" t="s">
        <v>5</v>
      </c>
      <c r="P17" s="7"/>
      <c r="Q17" s="7"/>
      <c r="R17" s="6" t="s">
        <v>106</v>
      </c>
    </row>
    <row r="18" customFormat="false" ht="15" hidden="false" customHeight="false" outlineLevel="0" collapsed="false">
      <c r="A18" s="6" t="n">
        <v>17</v>
      </c>
      <c r="B18" s="6" t="s">
        <v>9</v>
      </c>
      <c r="C18" s="10" t="s">
        <v>58</v>
      </c>
      <c r="D18" s="6" t="s">
        <v>51</v>
      </c>
      <c r="E18" s="6" t="s">
        <v>64</v>
      </c>
      <c r="F18" s="9" t="s">
        <v>107</v>
      </c>
      <c r="G18" s="6" t="s">
        <v>54</v>
      </c>
      <c r="H18" s="6" t="n">
        <v>200</v>
      </c>
      <c r="I18" s="6" t="n">
        <v>200</v>
      </c>
      <c r="J18" s="6" t="n">
        <v>169.1</v>
      </c>
      <c r="K18" s="6" t="n">
        <v>1672</v>
      </c>
      <c r="L18" s="6" t="n">
        <v>941</v>
      </c>
      <c r="M18" s="6" t="n">
        <f aca="false">IF(AND(ISNUMBER(K18),ISNUMBER(L18)),ROUND(K18/L18,2),"")</f>
        <v>1.78</v>
      </c>
      <c r="N18" s="9" t="s">
        <v>108</v>
      </c>
      <c r="O18" s="8" t="s">
        <v>6</v>
      </c>
      <c r="P18" s="9" t="s">
        <v>67</v>
      </c>
      <c r="Q18" s="7"/>
      <c r="R18" s="6" t="s">
        <v>109</v>
      </c>
    </row>
    <row r="19" customFormat="false" ht="15" hidden="false" customHeight="false" outlineLevel="0" collapsed="false">
      <c r="A19" s="6" t="n">
        <v>18</v>
      </c>
      <c r="B19" s="6" t="s">
        <v>9</v>
      </c>
      <c r="C19" s="10" t="s">
        <v>58</v>
      </c>
      <c r="D19" s="6" t="s">
        <v>51</v>
      </c>
      <c r="E19" s="6" t="s">
        <v>64</v>
      </c>
      <c r="F19" s="9" t="s">
        <v>110</v>
      </c>
      <c r="G19" s="6" t="s">
        <v>54</v>
      </c>
      <c r="H19" s="6" t="n">
        <v>200</v>
      </c>
      <c r="I19" s="6" t="n">
        <v>200</v>
      </c>
      <c r="J19" s="6" t="n">
        <v>159.7</v>
      </c>
      <c r="K19" s="6" t="n">
        <v>1672</v>
      </c>
      <c r="L19" s="6" t="n">
        <v>941</v>
      </c>
      <c r="M19" s="6" t="n">
        <f aca="false">IF(AND(ISNUMBER(K19),ISNUMBER(L19)),ROUND(K19/L19,2),"")</f>
        <v>1.78</v>
      </c>
      <c r="N19" s="9" t="s">
        <v>111</v>
      </c>
      <c r="O19" s="8" t="s">
        <v>6</v>
      </c>
      <c r="P19" s="9" t="s">
        <v>67</v>
      </c>
      <c r="Q19" s="7"/>
      <c r="R19" s="6" t="s">
        <v>112</v>
      </c>
    </row>
    <row r="20" customFormat="false" ht="15" hidden="false" customHeight="false" outlineLevel="0" collapsed="false">
      <c r="A20" s="6" t="n">
        <v>19</v>
      </c>
      <c r="B20" s="6" t="s">
        <v>9</v>
      </c>
      <c r="C20" s="10" t="s">
        <v>58</v>
      </c>
      <c r="D20" s="6" t="s">
        <v>51</v>
      </c>
      <c r="E20" s="6" t="s">
        <v>64</v>
      </c>
      <c r="F20" s="9" t="s">
        <v>113</v>
      </c>
      <c r="G20" s="6" t="s">
        <v>54</v>
      </c>
      <c r="H20" s="6" t="n">
        <v>200</v>
      </c>
      <c r="I20" s="6" t="n">
        <v>200</v>
      </c>
      <c r="J20" s="6" t="n">
        <v>192.5</v>
      </c>
      <c r="K20" s="6" t="n">
        <v>1672</v>
      </c>
      <c r="L20" s="6" t="n">
        <v>941</v>
      </c>
      <c r="M20" s="6" t="n">
        <f aca="false">IF(AND(ISNUMBER(K20),ISNUMBER(L20)),ROUND(K20/L20,2),"")</f>
        <v>1.78</v>
      </c>
      <c r="N20" s="9" t="s">
        <v>114</v>
      </c>
      <c r="O20" s="11" t="s">
        <v>5</v>
      </c>
      <c r="P20" s="7"/>
      <c r="Q20" s="7"/>
      <c r="R20" s="6" t="s">
        <v>115</v>
      </c>
    </row>
    <row r="21" customFormat="false" ht="15" hidden="false" customHeight="false" outlineLevel="0" collapsed="false">
      <c r="A21" s="6" t="n">
        <v>20</v>
      </c>
      <c r="B21" s="6" t="s">
        <v>9</v>
      </c>
      <c r="C21" s="10" t="s">
        <v>58</v>
      </c>
      <c r="D21" s="6" t="s">
        <v>51</v>
      </c>
      <c r="E21" s="6" t="s">
        <v>64</v>
      </c>
      <c r="F21" s="7" t="s">
        <v>116</v>
      </c>
      <c r="G21" s="6" t="s">
        <v>54</v>
      </c>
      <c r="H21" s="6" t="n">
        <v>200</v>
      </c>
      <c r="I21" s="6" t="n">
        <v>200</v>
      </c>
      <c r="J21" s="6" t="n">
        <v>391.9</v>
      </c>
      <c r="K21" s="6" t="n">
        <v>1672</v>
      </c>
      <c r="L21" s="6" t="n">
        <v>941</v>
      </c>
      <c r="M21" s="6" t="n">
        <f aca="false">IF(AND(ISNUMBER(K21),ISNUMBER(L21)),ROUND(K21/L21,2),"")</f>
        <v>1.78</v>
      </c>
      <c r="N21" s="9" t="s">
        <v>117</v>
      </c>
      <c r="O21" s="8" t="s">
        <v>6</v>
      </c>
      <c r="P21" s="9" t="s">
        <v>67</v>
      </c>
      <c r="Q21" s="7"/>
      <c r="R21" s="6" t="s">
        <v>118</v>
      </c>
    </row>
    <row r="22" customFormat="false" ht="15" hidden="false" customHeight="false" outlineLevel="0" collapsed="false">
      <c r="A22" s="6" t="n">
        <v>21</v>
      </c>
      <c r="B22" s="6" t="s">
        <v>9</v>
      </c>
      <c r="C22" s="10" t="s">
        <v>58</v>
      </c>
      <c r="D22" s="6" t="s">
        <v>51</v>
      </c>
      <c r="E22" s="6" t="s">
        <v>119</v>
      </c>
      <c r="F22" s="9" t="s">
        <v>120</v>
      </c>
      <c r="G22" s="6" t="s">
        <v>54</v>
      </c>
      <c r="H22" s="6" t="n">
        <v>200</v>
      </c>
      <c r="I22" s="6" t="n">
        <v>200</v>
      </c>
      <c r="J22" s="6" t="n">
        <v>187.1</v>
      </c>
      <c r="K22" s="6" t="n">
        <v>1672</v>
      </c>
      <c r="L22" s="6" t="n">
        <v>941</v>
      </c>
      <c r="M22" s="6" t="n">
        <f aca="false">IF(AND(ISNUMBER(K22),ISNUMBER(L22)),ROUND(K22/L22,2),"")</f>
        <v>1.78</v>
      </c>
      <c r="N22" s="9" t="s">
        <v>121</v>
      </c>
      <c r="O22" s="8" t="s">
        <v>6</v>
      </c>
      <c r="P22" s="9" t="s">
        <v>67</v>
      </c>
      <c r="Q22" s="7"/>
      <c r="R22" s="6" t="s">
        <v>122</v>
      </c>
    </row>
    <row r="23" customFormat="false" ht="15" hidden="false" customHeight="false" outlineLevel="0" collapsed="false">
      <c r="A23" s="6" t="n">
        <v>22</v>
      </c>
      <c r="B23" s="6" t="s">
        <v>9</v>
      </c>
      <c r="C23" s="10" t="s">
        <v>58</v>
      </c>
      <c r="D23" s="6" t="s">
        <v>51</v>
      </c>
      <c r="E23" s="6" t="s">
        <v>119</v>
      </c>
      <c r="F23" s="9" t="s">
        <v>123</v>
      </c>
      <c r="G23" s="6" t="s">
        <v>54</v>
      </c>
      <c r="H23" s="6" t="n">
        <v>200</v>
      </c>
      <c r="I23" s="6" t="n">
        <v>200</v>
      </c>
      <c r="J23" s="6" t="n">
        <v>185.2</v>
      </c>
      <c r="K23" s="6" t="n">
        <v>1672</v>
      </c>
      <c r="L23" s="6" t="n">
        <v>941</v>
      </c>
      <c r="M23" s="6" t="n">
        <f aca="false">IF(AND(ISNUMBER(K23),ISNUMBER(L23)),ROUND(K23/L23,2),"")</f>
        <v>1.78</v>
      </c>
      <c r="N23" s="9" t="s">
        <v>124</v>
      </c>
      <c r="O23" s="8" t="s">
        <v>6</v>
      </c>
      <c r="P23" s="9" t="s">
        <v>67</v>
      </c>
      <c r="Q23" s="7"/>
      <c r="R23" s="6" t="s">
        <v>125</v>
      </c>
    </row>
    <row r="24" customFormat="false" ht="15" hidden="false" customHeight="false" outlineLevel="0" collapsed="false">
      <c r="A24" s="6" t="n">
        <v>23</v>
      </c>
      <c r="B24" s="6" t="s">
        <v>9</v>
      </c>
      <c r="C24" s="10" t="s">
        <v>58</v>
      </c>
      <c r="D24" s="6" t="s">
        <v>51</v>
      </c>
      <c r="E24" s="6" t="s">
        <v>119</v>
      </c>
      <c r="F24" s="9" t="s">
        <v>126</v>
      </c>
      <c r="G24" s="6" t="s">
        <v>54</v>
      </c>
      <c r="H24" s="6" t="n">
        <v>200</v>
      </c>
      <c r="I24" s="6" t="n">
        <v>200</v>
      </c>
      <c r="J24" s="6" t="n">
        <v>304.5</v>
      </c>
      <c r="K24" s="6" t="n">
        <v>1672</v>
      </c>
      <c r="L24" s="6" t="n">
        <v>941</v>
      </c>
      <c r="M24" s="6" t="n">
        <f aca="false">IF(AND(ISNUMBER(K24),ISNUMBER(L24)),ROUND(K24/L24,2),"")</f>
        <v>1.78</v>
      </c>
      <c r="N24" s="9" t="s">
        <v>127</v>
      </c>
      <c r="O24" s="8" t="s">
        <v>6</v>
      </c>
      <c r="P24" s="9" t="s">
        <v>67</v>
      </c>
      <c r="Q24" s="7"/>
      <c r="R24" s="6" t="s">
        <v>128</v>
      </c>
    </row>
    <row r="25" customFormat="false" ht="15" hidden="false" customHeight="false" outlineLevel="0" collapsed="false">
      <c r="A25" s="6" t="n">
        <v>24</v>
      </c>
      <c r="B25" s="6" t="s">
        <v>9</v>
      </c>
      <c r="C25" s="10" t="s">
        <v>58</v>
      </c>
      <c r="D25" s="6" t="s">
        <v>51</v>
      </c>
      <c r="E25" s="6" t="s">
        <v>119</v>
      </c>
      <c r="F25" s="9" t="s">
        <v>129</v>
      </c>
      <c r="G25" s="6" t="s">
        <v>54</v>
      </c>
      <c r="H25" s="6" t="n">
        <v>200</v>
      </c>
      <c r="I25" s="6" t="n">
        <v>200</v>
      </c>
      <c r="J25" s="6" t="n">
        <v>316</v>
      </c>
      <c r="K25" s="6" t="n">
        <v>1672</v>
      </c>
      <c r="L25" s="6" t="n">
        <v>941</v>
      </c>
      <c r="M25" s="6" t="n">
        <f aca="false">IF(AND(ISNUMBER(K25),ISNUMBER(L25)),ROUND(K25/L25,2),"")</f>
        <v>1.78</v>
      </c>
      <c r="N25" s="9" t="s">
        <v>130</v>
      </c>
      <c r="O25" s="11" t="s">
        <v>5</v>
      </c>
      <c r="P25" s="7"/>
      <c r="Q25" s="7"/>
      <c r="R25" s="6" t="s">
        <v>131</v>
      </c>
    </row>
    <row r="26" customFormat="false" ht="15" hidden="false" customHeight="false" outlineLevel="0" collapsed="false">
      <c r="A26" s="6" t="n">
        <v>25</v>
      </c>
      <c r="B26" s="6" t="s">
        <v>9</v>
      </c>
      <c r="C26" s="10" t="s">
        <v>58</v>
      </c>
      <c r="D26" s="6" t="s">
        <v>51</v>
      </c>
      <c r="E26" s="6" t="s">
        <v>119</v>
      </c>
      <c r="F26" s="9" t="s">
        <v>132</v>
      </c>
      <c r="G26" s="6" t="s">
        <v>54</v>
      </c>
      <c r="H26" s="6" t="n">
        <v>200</v>
      </c>
      <c r="I26" s="6" t="n">
        <v>200</v>
      </c>
      <c r="J26" s="6" t="n">
        <v>310.7</v>
      </c>
      <c r="K26" s="6" t="n">
        <v>1672</v>
      </c>
      <c r="L26" s="6" t="n">
        <v>941</v>
      </c>
      <c r="M26" s="6" t="n">
        <f aca="false">IF(AND(ISNUMBER(K26),ISNUMBER(L26)),ROUND(K26/L26,2),"")</f>
        <v>1.78</v>
      </c>
      <c r="N26" s="9" t="s">
        <v>133</v>
      </c>
      <c r="O26" s="8" t="s">
        <v>6</v>
      </c>
      <c r="P26" s="9" t="s">
        <v>67</v>
      </c>
      <c r="Q26" s="7"/>
      <c r="R26" s="6" t="s">
        <v>134</v>
      </c>
    </row>
    <row r="27" customFormat="false" ht="29.85" hidden="false" customHeight="false" outlineLevel="0" collapsed="false">
      <c r="A27" s="6" t="n">
        <v>26</v>
      </c>
      <c r="B27" s="6" t="s">
        <v>9</v>
      </c>
      <c r="C27" s="10" t="s">
        <v>58</v>
      </c>
      <c r="D27" s="6" t="s">
        <v>51</v>
      </c>
      <c r="E27" s="6" t="s">
        <v>119</v>
      </c>
      <c r="F27" s="9" t="s">
        <v>135</v>
      </c>
      <c r="G27" s="6" t="s">
        <v>54</v>
      </c>
      <c r="H27" s="6" t="n">
        <v>200</v>
      </c>
      <c r="I27" s="6" t="n">
        <v>200</v>
      </c>
      <c r="J27" s="6" t="n">
        <v>429.9</v>
      </c>
      <c r="K27" s="6" t="n">
        <v>1672</v>
      </c>
      <c r="L27" s="6" t="n">
        <v>941</v>
      </c>
      <c r="M27" s="6" t="n">
        <f aca="false">IF(AND(ISNUMBER(K27),ISNUMBER(L27)),ROUND(K27/L27,2),"")</f>
        <v>1.78</v>
      </c>
      <c r="N27" s="9" t="s">
        <v>136</v>
      </c>
      <c r="O27" s="8" t="s">
        <v>6</v>
      </c>
      <c r="P27" s="9" t="s">
        <v>137</v>
      </c>
      <c r="Q27" s="7"/>
      <c r="R27" s="6" t="s">
        <v>138</v>
      </c>
    </row>
    <row r="28" customFormat="false" ht="15" hidden="false" customHeight="false" outlineLevel="0" collapsed="false">
      <c r="A28" s="6" t="n">
        <v>27</v>
      </c>
      <c r="B28" s="6" t="s">
        <v>9</v>
      </c>
      <c r="C28" s="10" t="s">
        <v>58</v>
      </c>
      <c r="D28" s="6" t="s">
        <v>51</v>
      </c>
      <c r="E28" s="6" t="s">
        <v>64</v>
      </c>
      <c r="F28" s="7" t="s">
        <v>139</v>
      </c>
      <c r="G28" s="6" t="s">
        <v>54</v>
      </c>
      <c r="H28" s="6" t="n">
        <v>200</v>
      </c>
      <c r="I28" s="6" t="n">
        <v>200</v>
      </c>
      <c r="J28" s="6" t="n">
        <v>8.9</v>
      </c>
      <c r="K28" s="6" t="n">
        <v>180</v>
      </c>
      <c r="L28" s="6" t="n">
        <v>168</v>
      </c>
      <c r="M28" s="6" t="n">
        <f aca="false">IF(AND(ISNUMBER(K28),ISNUMBER(L28)),ROUND(K28/L28,2),"")</f>
        <v>1.07</v>
      </c>
      <c r="N28" s="9" t="s">
        <v>140</v>
      </c>
      <c r="O28" s="8" t="s">
        <v>6</v>
      </c>
      <c r="P28" s="9" t="s">
        <v>67</v>
      </c>
      <c r="Q28" s="7"/>
      <c r="R28" s="6" t="s">
        <v>141</v>
      </c>
    </row>
    <row r="29" customFormat="false" ht="15" hidden="false" customHeight="false" outlineLevel="0" collapsed="false">
      <c r="A29" s="6" t="n">
        <v>28</v>
      </c>
      <c r="B29" s="6" t="s">
        <v>9</v>
      </c>
      <c r="C29" s="10" t="s">
        <v>58</v>
      </c>
      <c r="D29" s="6" t="s">
        <v>51</v>
      </c>
      <c r="E29" s="6" t="s">
        <v>64</v>
      </c>
      <c r="F29" s="7" t="s">
        <v>142</v>
      </c>
      <c r="G29" s="6" t="s">
        <v>54</v>
      </c>
      <c r="H29" s="6" t="n">
        <v>200</v>
      </c>
      <c r="I29" s="6" t="n">
        <v>200</v>
      </c>
      <c r="J29" s="6" t="n">
        <v>19</v>
      </c>
      <c r="K29" s="6" t="n">
        <v>1920</v>
      </c>
      <c r="L29" s="6" t="n">
        <v>947</v>
      </c>
      <c r="M29" s="6" t="n">
        <f aca="false">IF(AND(ISNUMBER(K29),ISNUMBER(L29)),ROUND(K29/L29,2),"")</f>
        <v>2.03</v>
      </c>
      <c r="N29" s="7" t="s">
        <v>143</v>
      </c>
      <c r="O29" s="8" t="s">
        <v>6</v>
      </c>
      <c r="P29" s="9" t="s">
        <v>67</v>
      </c>
      <c r="Q29" s="7"/>
      <c r="R29" s="6" t="s">
        <v>144</v>
      </c>
    </row>
    <row r="30" customFormat="false" ht="15" hidden="false" customHeight="false" outlineLevel="0" collapsed="false">
      <c r="A30" s="6" t="n">
        <v>29</v>
      </c>
      <c r="B30" s="6" t="s">
        <v>9</v>
      </c>
      <c r="C30" s="10" t="s">
        <v>58</v>
      </c>
      <c r="D30" s="6" t="s">
        <v>51</v>
      </c>
      <c r="E30" s="6" t="s">
        <v>64</v>
      </c>
      <c r="F30" s="7" t="s">
        <v>145</v>
      </c>
      <c r="G30" s="6" t="s">
        <v>54</v>
      </c>
      <c r="H30" s="6" t="n">
        <v>200</v>
      </c>
      <c r="I30" s="6" t="n">
        <v>200</v>
      </c>
      <c r="J30" s="6" t="n">
        <v>58.7</v>
      </c>
      <c r="K30" s="6" t="n">
        <v>1920</v>
      </c>
      <c r="L30" s="6" t="n">
        <v>1565</v>
      </c>
      <c r="M30" s="6" t="n">
        <f aca="false">IF(AND(ISNUMBER(K30),ISNUMBER(L30)),ROUND(K30/L30,2),"")</f>
        <v>1.23</v>
      </c>
      <c r="N30" s="7" t="s">
        <v>146</v>
      </c>
      <c r="O30" s="8" t="s">
        <v>6</v>
      </c>
      <c r="P30" s="9" t="s">
        <v>67</v>
      </c>
      <c r="Q30" s="7"/>
      <c r="R30" s="6" t="s">
        <v>147</v>
      </c>
    </row>
    <row r="31" customFormat="false" ht="15" hidden="false" customHeight="false" outlineLevel="0" collapsed="false">
      <c r="A31" s="6" t="n">
        <v>30</v>
      </c>
      <c r="B31" s="6" t="s">
        <v>9</v>
      </c>
      <c r="C31" s="10" t="s">
        <v>58</v>
      </c>
      <c r="D31" s="6" t="s">
        <v>51</v>
      </c>
      <c r="E31" s="6" t="s">
        <v>64</v>
      </c>
      <c r="F31" s="9" t="s">
        <v>148</v>
      </c>
      <c r="G31" s="6" t="s">
        <v>54</v>
      </c>
      <c r="H31" s="6" t="n">
        <v>200</v>
      </c>
      <c r="I31" s="6" t="n">
        <v>200</v>
      </c>
      <c r="J31" s="6" t="n">
        <v>19.1</v>
      </c>
      <c r="K31" s="6" t="n">
        <v>1887</v>
      </c>
      <c r="L31" s="6" t="n">
        <v>753</v>
      </c>
      <c r="M31" s="6" t="n">
        <f aca="false">IF(AND(ISNUMBER(K31),ISNUMBER(L31)),ROUND(K31/L31,2),"")</f>
        <v>2.51</v>
      </c>
      <c r="N31" s="9" t="s">
        <v>149</v>
      </c>
      <c r="O31" s="8" t="s">
        <v>6</v>
      </c>
      <c r="P31" s="9" t="s">
        <v>67</v>
      </c>
      <c r="Q31" s="7"/>
      <c r="R31" s="6" t="s">
        <v>150</v>
      </c>
    </row>
    <row r="32" customFormat="false" ht="15" hidden="false" customHeight="false" outlineLevel="0" collapsed="false">
      <c r="A32" s="6" t="n">
        <v>31</v>
      </c>
      <c r="B32" s="6" t="s">
        <v>9</v>
      </c>
      <c r="C32" s="10" t="s">
        <v>58</v>
      </c>
      <c r="D32" s="6" t="s">
        <v>51</v>
      </c>
      <c r="E32" s="6" t="s">
        <v>64</v>
      </c>
      <c r="F32" s="9" t="s">
        <v>151</v>
      </c>
      <c r="G32" s="6" t="s">
        <v>54</v>
      </c>
      <c r="H32" s="6" t="n">
        <v>200</v>
      </c>
      <c r="I32" s="6" t="n">
        <v>200</v>
      </c>
      <c r="J32" s="6" t="n">
        <v>98.6</v>
      </c>
      <c r="K32" s="6" t="n">
        <v>800</v>
      </c>
      <c r="L32" s="6" t="n">
        <v>566</v>
      </c>
      <c r="M32" s="6" t="n">
        <f aca="false">IF(AND(ISNUMBER(K32),ISNUMBER(L32)),ROUND(K32/L32,2),"")</f>
        <v>1.41</v>
      </c>
      <c r="N32" s="9" t="s">
        <v>152</v>
      </c>
      <c r="O32" s="8" t="s">
        <v>6</v>
      </c>
      <c r="P32" s="9" t="s">
        <v>67</v>
      </c>
      <c r="Q32" s="7"/>
      <c r="R32" s="6" t="s">
        <v>153</v>
      </c>
    </row>
    <row r="33" customFormat="false" ht="15" hidden="false" customHeight="false" outlineLevel="0" collapsed="false">
      <c r="A33" s="6" t="n">
        <v>32</v>
      </c>
      <c r="B33" s="6" t="s">
        <v>9</v>
      </c>
      <c r="C33" s="10" t="s">
        <v>58</v>
      </c>
      <c r="D33" s="6" t="s">
        <v>51</v>
      </c>
      <c r="E33" s="6" t="s">
        <v>64</v>
      </c>
      <c r="F33" s="9" t="s">
        <v>154</v>
      </c>
      <c r="G33" s="6" t="s">
        <v>54</v>
      </c>
      <c r="H33" s="6" t="n">
        <v>200</v>
      </c>
      <c r="I33" s="6" t="n">
        <v>200</v>
      </c>
      <c r="J33" s="6" t="n">
        <v>3.6</v>
      </c>
      <c r="K33" s="6" t="n">
        <v>563</v>
      </c>
      <c r="L33" s="6" t="n">
        <v>240</v>
      </c>
      <c r="M33" s="6" t="n">
        <f aca="false">IF(AND(ISNUMBER(K33),ISNUMBER(L33)),ROUND(K33/L33,2),"")</f>
        <v>2.35</v>
      </c>
      <c r="N33" s="9" t="s">
        <v>155</v>
      </c>
      <c r="O33" s="8" t="s">
        <v>6</v>
      </c>
      <c r="P33" s="9" t="s">
        <v>67</v>
      </c>
      <c r="Q33" s="7"/>
      <c r="R33" s="6" t="s">
        <v>156</v>
      </c>
    </row>
    <row r="34" customFormat="false" ht="15" hidden="false" customHeight="false" outlineLevel="0" collapsed="false">
      <c r="A34" s="6" t="n">
        <v>33</v>
      </c>
      <c r="B34" s="6" t="s">
        <v>9</v>
      </c>
      <c r="C34" s="10" t="s">
        <v>58</v>
      </c>
      <c r="D34" s="6" t="s">
        <v>51</v>
      </c>
      <c r="E34" s="6" t="s">
        <v>64</v>
      </c>
      <c r="F34" s="9" t="s">
        <v>157</v>
      </c>
      <c r="G34" s="6" t="s">
        <v>54</v>
      </c>
      <c r="H34" s="6" t="n">
        <v>200</v>
      </c>
      <c r="I34" s="6" t="n">
        <v>200</v>
      </c>
      <c r="J34" s="6" t="n">
        <v>3.7</v>
      </c>
      <c r="K34" s="6" t="n">
        <v>403</v>
      </c>
      <c r="L34" s="6" t="n">
        <v>190</v>
      </c>
      <c r="M34" s="6" t="n">
        <f aca="false">IF(AND(ISNUMBER(K34),ISNUMBER(L34)),ROUND(K34/L34,2),"")</f>
        <v>2.12</v>
      </c>
      <c r="N34" s="9" t="s">
        <v>158</v>
      </c>
      <c r="O34" s="8" t="s">
        <v>6</v>
      </c>
      <c r="P34" s="9" t="s">
        <v>67</v>
      </c>
      <c r="Q34" s="7"/>
      <c r="R34" s="6" t="s">
        <v>159</v>
      </c>
    </row>
    <row r="35" customFormat="false" ht="29.85" hidden="false" customHeight="false" outlineLevel="0" collapsed="false">
      <c r="A35" s="6" t="n">
        <v>34</v>
      </c>
      <c r="B35" s="6" t="s">
        <v>9</v>
      </c>
      <c r="C35" s="10" t="s">
        <v>58</v>
      </c>
      <c r="D35" s="6" t="s">
        <v>51</v>
      </c>
      <c r="E35" s="6" t="s">
        <v>64</v>
      </c>
      <c r="F35" s="7" t="s">
        <v>160</v>
      </c>
      <c r="G35" s="6" t="s">
        <v>54</v>
      </c>
      <c r="H35" s="6" t="n">
        <v>200</v>
      </c>
      <c r="I35" s="6" t="n">
        <v>200</v>
      </c>
      <c r="J35" s="6" t="n">
        <v>17.8</v>
      </c>
      <c r="K35" s="6" t="n">
        <v>1920</v>
      </c>
      <c r="L35" s="6" t="n">
        <v>629</v>
      </c>
      <c r="M35" s="6" t="n">
        <f aca="false">IF(AND(ISNUMBER(K35),ISNUMBER(L35)),ROUND(K35/L35,2),"")</f>
        <v>3.05</v>
      </c>
      <c r="N35" s="9" t="s">
        <v>161</v>
      </c>
      <c r="O35" s="8" t="s">
        <v>6</v>
      </c>
      <c r="P35" s="9" t="s">
        <v>162</v>
      </c>
      <c r="Q35" s="7"/>
      <c r="R35" s="6" t="s">
        <v>163</v>
      </c>
    </row>
    <row r="36" customFormat="false" ht="15" hidden="false" customHeight="false" outlineLevel="0" collapsed="false">
      <c r="A36" s="6" t="n">
        <v>35</v>
      </c>
      <c r="B36" s="6" t="s">
        <v>9</v>
      </c>
      <c r="C36" s="10" t="s">
        <v>58</v>
      </c>
      <c r="D36" s="6" t="s">
        <v>51</v>
      </c>
      <c r="E36" s="6" t="s">
        <v>64</v>
      </c>
      <c r="F36" s="7" t="s">
        <v>164</v>
      </c>
      <c r="G36" s="6" t="s">
        <v>54</v>
      </c>
      <c r="H36" s="6" t="n">
        <v>200</v>
      </c>
      <c r="I36" s="6" t="n">
        <v>200</v>
      </c>
      <c r="J36" s="6" t="n">
        <v>6</v>
      </c>
      <c r="K36" s="6" t="n">
        <v>640</v>
      </c>
      <c r="L36" s="6" t="n">
        <v>250</v>
      </c>
      <c r="M36" s="6" t="n">
        <f aca="false">IF(AND(ISNUMBER(K36),ISNUMBER(L36)),ROUND(K36/L36,2),"")</f>
        <v>2.56</v>
      </c>
      <c r="N36" s="7" t="s">
        <v>165</v>
      </c>
      <c r="O36" s="8" t="s">
        <v>6</v>
      </c>
      <c r="P36" s="9" t="s">
        <v>67</v>
      </c>
      <c r="Q36" s="7"/>
      <c r="R36" s="6" t="s">
        <v>166</v>
      </c>
    </row>
    <row r="37" customFormat="false" ht="15" hidden="false" customHeight="false" outlineLevel="0" collapsed="false">
      <c r="A37" s="6" t="n">
        <v>36</v>
      </c>
      <c r="B37" s="6" t="s">
        <v>9</v>
      </c>
      <c r="C37" s="10" t="s">
        <v>58</v>
      </c>
      <c r="D37" s="6" t="s">
        <v>51</v>
      </c>
      <c r="E37" s="6" t="s">
        <v>64</v>
      </c>
      <c r="F37" s="7" t="s">
        <v>167</v>
      </c>
      <c r="G37" s="6" t="s">
        <v>54</v>
      </c>
      <c r="H37" s="6" t="n">
        <v>200</v>
      </c>
      <c r="I37" s="6" t="n">
        <v>200</v>
      </c>
      <c r="J37" s="6" t="n">
        <v>150.2</v>
      </c>
      <c r="K37" s="6" t="n">
        <v>1915</v>
      </c>
      <c r="L37" s="6" t="n">
        <v>821</v>
      </c>
      <c r="M37" s="6" t="n">
        <f aca="false">IF(AND(ISNUMBER(K37),ISNUMBER(L37)),ROUND(K37/L37,2),"")</f>
        <v>2.33</v>
      </c>
      <c r="N37" s="9" t="s">
        <v>168</v>
      </c>
      <c r="O37" s="11" t="s">
        <v>5</v>
      </c>
      <c r="P37" s="7"/>
      <c r="Q37" s="7"/>
      <c r="R37" s="6" t="s">
        <v>169</v>
      </c>
    </row>
    <row r="38" customFormat="false" ht="15" hidden="false" customHeight="false" outlineLevel="0" collapsed="false">
      <c r="A38" s="6" t="n">
        <v>37</v>
      </c>
      <c r="B38" s="6" t="s">
        <v>9</v>
      </c>
      <c r="C38" s="6" t="s">
        <v>50</v>
      </c>
      <c r="D38" s="6" t="s">
        <v>51</v>
      </c>
      <c r="E38" s="6" t="s">
        <v>170</v>
      </c>
      <c r="F38" s="9" t="s">
        <v>171</v>
      </c>
      <c r="G38" s="6" t="s">
        <v>54</v>
      </c>
      <c r="H38" s="6" t="n">
        <v>200</v>
      </c>
      <c r="I38" s="6" t="n">
        <v>200</v>
      </c>
      <c r="J38" s="6" t="n">
        <v>51.5</v>
      </c>
      <c r="K38" s="6" t="n">
        <v>537</v>
      </c>
      <c r="L38" s="6" t="n">
        <v>403</v>
      </c>
      <c r="M38" s="6" t="n">
        <f aca="false">IF(AND(ISNUMBER(K38),ISNUMBER(L38)),ROUND(K38/L38,2),"")</f>
        <v>1.33</v>
      </c>
      <c r="N38" s="9" t="s">
        <v>172</v>
      </c>
      <c r="O38" s="11" t="s">
        <v>5</v>
      </c>
      <c r="P38" s="7"/>
      <c r="Q38" s="7"/>
      <c r="R38" s="6" t="s">
        <v>173</v>
      </c>
    </row>
    <row r="39" customFormat="false" ht="15" hidden="false" customHeight="false" outlineLevel="0" collapsed="false">
      <c r="A39" s="6" t="n">
        <v>38</v>
      </c>
      <c r="B39" s="6" t="s">
        <v>9</v>
      </c>
      <c r="C39" s="6" t="s">
        <v>50</v>
      </c>
      <c r="D39" s="6" t="s">
        <v>51</v>
      </c>
      <c r="E39" s="6" t="s">
        <v>174</v>
      </c>
      <c r="F39" s="7" t="s">
        <v>53</v>
      </c>
      <c r="G39" s="6" t="s">
        <v>54</v>
      </c>
      <c r="H39" s="6" t="n">
        <v>200</v>
      </c>
      <c r="I39" s="6" t="n">
        <v>200</v>
      </c>
      <c r="J39" s="6" t="n">
        <v>3.9</v>
      </c>
      <c r="K39" s="6" t="n">
        <v>442</v>
      </c>
      <c r="L39" s="6" t="n">
        <v>129</v>
      </c>
      <c r="M39" s="6" t="n">
        <f aca="false">IF(AND(ISNUMBER(K39),ISNUMBER(L39)),ROUND(K39/L39,2),"")</f>
        <v>3.43</v>
      </c>
      <c r="N39" s="7" t="s">
        <v>55</v>
      </c>
      <c r="O39" s="8" t="s">
        <v>6</v>
      </c>
      <c r="P39" s="9" t="s">
        <v>56</v>
      </c>
      <c r="Q39" s="7"/>
      <c r="R39" s="6" t="s">
        <v>57</v>
      </c>
    </row>
    <row r="40" customFormat="false" ht="15" hidden="false" customHeight="false" outlineLevel="0" collapsed="false">
      <c r="A40" s="6" t="n">
        <v>39</v>
      </c>
      <c r="B40" s="6" t="s">
        <v>9</v>
      </c>
      <c r="C40" s="6" t="s">
        <v>175</v>
      </c>
      <c r="D40" s="6" t="s">
        <v>176</v>
      </c>
      <c r="E40" s="6" t="s">
        <v>176</v>
      </c>
      <c r="F40" s="7" t="s">
        <v>177</v>
      </c>
      <c r="G40" s="6" t="s">
        <v>54</v>
      </c>
      <c r="H40" s="6" t="n">
        <v>200</v>
      </c>
      <c r="I40" s="6" t="s">
        <v>178</v>
      </c>
      <c r="J40" s="6" t="n">
        <v>3091.9</v>
      </c>
      <c r="K40" s="6" t="n">
        <v>2149</v>
      </c>
      <c r="L40" s="6" t="n">
        <v>732</v>
      </c>
      <c r="M40" s="6" t="n">
        <f aca="false">IF(AND(ISNUMBER(K40),ISNUMBER(L40)),ROUND(K40/L40,2),"")</f>
        <v>2.94</v>
      </c>
      <c r="N40" s="7" t="s">
        <v>179</v>
      </c>
      <c r="O40" s="8" t="s">
        <v>6</v>
      </c>
      <c r="P40" s="9" t="s">
        <v>180</v>
      </c>
      <c r="Q40" s="7"/>
      <c r="R40" s="6" t="s">
        <v>181</v>
      </c>
    </row>
    <row r="41" customFormat="false" ht="15" hidden="false" customHeight="false" outlineLevel="0" collapsed="false">
      <c r="A41" s="6" t="n">
        <v>40</v>
      </c>
      <c r="B41" s="6" t="s">
        <v>10</v>
      </c>
      <c r="C41" s="6" t="s">
        <v>50</v>
      </c>
      <c r="D41" s="6" t="s">
        <v>51</v>
      </c>
      <c r="E41" s="6" t="s">
        <v>52</v>
      </c>
      <c r="F41" s="7" t="s">
        <v>53</v>
      </c>
      <c r="G41" s="6" t="s">
        <v>54</v>
      </c>
      <c r="H41" s="6" t="n">
        <v>200</v>
      </c>
      <c r="I41" s="6" t="n">
        <v>200</v>
      </c>
      <c r="J41" s="6" t="n">
        <v>3.9</v>
      </c>
      <c r="K41" s="6" t="n">
        <v>442</v>
      </c>
      <c r="L41" s="6" t="n">
        <v>129</v>
      </c>
      <c r="M41" s="6" t="n">
        <f aca="false">IF(AND(ISNUMBER(K41),ISNUMBER(L41)),ROUND(K41/L41,2),"")</f>
        <v>3.43</v>
      </c>
      <c r="N41" s="7" t="s">
        <v>55</v>
      </c>
      <c r="O41" s="8" t="s">
        <v>6</v>
      </c>
      <c r="P41" s="9" t="s">
        <v>56</v>
      </c>
      <c r="Q41" s="7"/>
      <c r="R41" s="6" t="s">
        <v>57</v>
      </c>
    </row>
    <row r="42" customFormat="false" ht="23.85" hidden="false" customHeight="false" outlineLevel="0" collapsed="false">
      <c r="A42" s="6" t="n">
        <v>41</v>
      </c>
      <c r="B42" s="6" t="s">
        <v>10</v>
      </c>
      <c r="C42" s="10" t="s">
        <v>58</v>
      </c>
      <c r="D42" s="6" t="s">
        <v>51</v>
      </c>
      <c r="E42" s="6" t="s">
        <v>182</v>
      </c>
      <c r="F42" s="7" t="s">
        <v>183</v>
      </c>
      <c r="G42" s="6" t="s">
        <v>54</v>
      </c>
      <c r="H42" s="6" t="n">
        <v>200</v>
      </c>
      <c r="I42" s="6" t="n">
        <v>200</v>
      </c>
      <c r="J42" s="6" t="n">
        <v>234.2</v>
      </c>
      <c r="K42" s="6" t="n">
        <v>1920</v>
      </c>
      <c r="L42" s="6" t="n">
        <v>768</v>
      </c>
      <c r="M42" s="6" t="n">
        <f aca="false">IF(AND(ISNUMBER(K42),ISNUMBER(L42)),ROUND(K42/L42,2),"")</f>
        <v>2.5</v>
      </c>
      <c r="N42" s="7" t="s">
        <v>184</v>
      </c>
      <c r="O42" s="11" t="s">
        <v>5</v>
      </c>
      <c r="P42" s="7"/>
      <c r="Q42" s="7"/>
      <c r="R42" s="6" t="s">
        <v>185</v>
      </c>
    </row>
    <row r="43" customFormat="false" ht="15" hidden="false" customHeight="false" outlineLevel="0" collapsed="false">
      <c r="A43" s="6" t="n">
        <v>42</v>
      </c>
      <c r="B43" s="6" t="s">
        <v>10</v>
      </c>
      <c r="C43" s="10" t="s">
        <v>58</v>
      </c>
      <c r="D43" s="6" t="s">
        <v>51</v>
      </c>
      <c r="E43" s="6" t="s">
        <v>186</v>
      </c>
      <c r="F43" s="9" t="s">
        <v>82</v>
      </c>
      <c r="G43" s="6" t="s">
        <v>54</v>
      </c>
      <c r="H43" s="6" t="n">
        <v>200</v>
      </c>
      <c r="I43" s="6" t="n">
        <v>200</v>
      </c>
      <c r="J43" s="6" t="n">
        <v>335.5</v>
      </c>
      <c r="K43" s="6" t="n">
        <v>1672</v>
      </c>
      <c r="L43" s="6" t="n">
        <v>941</v>
      </c>
      <c r="M43" s="6" t="n">
        <f aca="false">IF(AND(ISNUMBER(K43),ISNUMBER(L43)),ROUND(K43/L43,2),"")</f>
        <v>1.78</v>
      </c>
      <c r="N43" s="9" t="s">
        <v>187</v>
      </c>
      <c r="O43" s="8" t="s">
        <v>6</v>
      </c>
      <c r="P43" s="9" t="s">
        <v>67</v>
      </c>
      <c r="Q43" s="7"/>
      <c r="R43" s="6" t="s">
        <v>84</v>
      </c>
    </row>
    <row r="44" customFormat="false" ht="15" hidden="false" customHeight="false" outlineLevel="0" collapsed="false">
      <c r="A44" s="6" t="n">
        <v>43</v>
      </c>
      <c r="B44" s="6" t="s">
        <v>10</v>
      </c>
      <c r="C44" s="10" t="s">
        <v>58</v>
      </c>
      <c r="D44" s="6" t="s">
        <v>51</v>
      </c>
      <c r="E44" s="6" t="s">
        <v>64</v>
      </c>
      <c r="F44" s="9" t="s">
        <v>188</v>
      </c>
      <c r="G44" s="6" t="s">
        <v>54</v>
      </c>
      <c r="H44" s="6" t="n">
        <v>200</v>
      </c>
      <c r="I44" s="6" t="n">
        <v>200</v>
      </c>
      <c r="J44" s="6" t="n">
        <v>163.6</v>
      </c>
      <c r="K44" s="6" t="n">
        <v>800</v>
      </c>
      <c r="L44" s="6" t="n">
        <v>800</v>
      </c>
      <c r="M44" s="6" t="n">
        <f aca="false">IF(AND(ISNUMBER(K44),ISNUMBER(L44)),ROUND(K44/L44,2),"")</f>
        <v>1</v>
      </c>
      <c r="N44" s="9" t="s">
        <v>189</v>
      </c>
      <c r="O44" s="8" t="s">
        <v>6</v>
      </c>
      <c r="P44" s="9" t="s">
        <v>67</v>
      </c>
      <c r="Q44" s="7"/>
      <c r="R44" s="6" t="s">
        <v>190</v>
      </c>
    </row>
    <row r="45" customFormat="false" ht="15" hidden="false" customHeight="false" outlineLevel="0" collapsed="false">
      <c r="A45" s="6" t="n">
        <v>44</v>
      </c>
      <c r="B45" s="6" t="s">
        <v>10</v>
      </c>
      <c r="C45" s="10" t="s">
        <v>58</v>
      </c>
      <c r="D45" s="6" t="s">
        <v>51</v>
      </c>
      <c r="E45" s="6" t="s">
        <v>191</v>
      </c>
      <c r="F45" s="9" t="s">
        <v>192</v>
      </c>
      <c r="G45" s="6" t="s">
        <v>54</v>
      </c>
      <c r="H45" s="6" t="n">
        <v>200</v>
      </c>
      <c r="I45" s="6" t="n">
        <v>200</v>
      </c>
      <c r="J45" s="6" t="n">
        <v>16.9</v>
      </c>
      <c r="K45" s="6" t="n">
        <v>569</v>
      </c>
      <c r="L45" s="6" t="n">
        <v>288</v>
      </c>
      <c r="M45" s="6" t="n">
        <f aca="false">IF(AND(ISNUMBER(K45),ISNUMBER(L45)),ROUND(K45/L45,2),"")</f>
        <v>1.98</v>
      </c>
      <c r="N45" s="9" t="s">
        <v>193</v>
      </c>
      <c r="O45" s="11" t="s">
        <v>5</v>
      </c>
      <c r="P45" s="7"/>
      <c r="Q45" s="7"/>
      <c r="R45" s="6" t="s">
        <v>194</v>
      </c>
    </row>
    <row r="46" customFormat="false" ht="29.85" hidden="false" customHeight="false" outlineLevel="0" collapsed="false">
      <c r="A46" s="6" t="n">
        <v>45</v>
      </c>
      <c r="B46" s="6" t="s">
        <v>10</v>
      </c>
      <c r="C46" s="10" t="s">
        <v>58</v>
      </c>
      <c r="D46" s="6" t="s">
        <v>51</v>
      </c>
      <c r="E46" s="6" t="s">
        <v>195</v>
      </c>
      <c r="F46" s="9" t="s">
        <v>196</v>
      </c>
      <c r="G46" s="6" t="s">
        <v>54</v>
      </c>
      <c r="H46" s="6" t="n">
        <v>200</v>
      </c>
      <c r="I46" s="6" t="n">
        <v>200</v>
      </c>
      <c r="J46" s="6" t="n">
        <v>30.1</v>
      </c>
      <c r="K46" s="6" t="n">
        <v>597</v>
      </c>
      <c r="L46" s="6" t="n">
        <v>846</v>
      </c>
      <c r="M46" s="6" t="n">
        <f aca="false">IF(AND(ISNUMBER(K46),ISNUMBER(L46)),ROUND(K46/L46,2),"")</f>
        <v>0.71</v>
      </c>
      <c r="N46" s="9" t="s">
        <v>197</v>
      </c>
      <c r="O46" s="8" t="s">
        <v>6</v>
      </c>
      <c r="P46" s="9" t="s">
        <v>198</v>
      </c>
      <c r="Q46" s="7"/>
      <c r="R46" s="6" t="s">
        <v>199</v>
      </c>
    </row>
    <row r="47" customFormat="false" ht="15" hidden="false" customHeight="false" outlineLevel="0" collapsed="false">
      <c r="A47" s="6" t="n">
        <v>46</v>
      </c>
      <c r="B47" s="6" t="s">
        <v>10</v>
      </c>
      <c r="C47" s="10" t="s">
        <v>58</v>
      </c>
      <c r="D47" s="6" t="s">
        <v>51</v>
      </c>
      <c r="E47" s="6" t="s">
        <v>200</v>
      </c>
      <c r="F47" s="7" t="s">
        <v>201</v>
      </c>
      <c r="G47" s="6" t="s">
        <v>54</v>
      </c>
      <c r="H47" s="6" t="n">
        <v>200</v>
      </c>
      <c r="I47" s="6" t="n">
        <v>200</v>
      </c>
      <c r="J47" s="6" t="n">
        <v>164.4</v>
      </c>
      <c r="K47" s="6" t="n">
        <v>1376</v>
      </c>
      <c r="L47" s="6" t="n">
        <v>768</v>
      </c>
      <c r="M47" s="6" t="n">
        <f aca="false">IF(AND(ISNUMBER(K47),ISNUMBER(L47)),ROUND(K47/L47,2),"")</f>
        <v>1.79</v>
      </c>
      <c r="N47" s="9" t="s">
        <v>202</v>
      </c>
      <c r="O47" s="8" t="s">
        <v>6</v>
      </c>
      <c r="P47" s="9" t="s">
        <v>67</v>
      </c>
      <c r="Q47" s="7"/>
      <c r="R47" s="6" t="s">
        <v>203</v>
      </c>
    </row>
    <row r="48" customFormat="false" ht="29.85" hidden="false" customHeight="false" outlineLevel="0" collapsed="false">
      <c r="A48" s="6" t="n">
        <v>47</v>
      </c>
      <c r="B48" s="6" t="s">
        <v>10</v>
      </c>
      <c r="C48" s="10" t="s">
        <v>58</v>
      </c>
      <c r="D48" s="6" t="s">
        <v>51</v>
      </c>
      <c r="E48" s="6" t="s">
        <v>204</v>
      </c>
      <c r="F48" s="7" t="s">
        <v>205</v>
      </c>
      <c r="G48" s="6" t="s">
        <v>54</v>
      </c>
      <c r="H48" s="6" t="n">
        <v>200</v>
      </c>
      <c r="I48" s="6" t="n">
        <v>200</v>
      </c>
      <c r="J48" s="6" t="n">
        <v>27.9</v>
      </c>
      <c r="K48" s="6" t="n">
        <v>700</v>
      </c>
      <c r="L48" s="6" t="n">
        <v>881</v>
      </c>
      <c r="M48" s="6" t="n">
        <f aca="false">IF(AND(ISNUMBER(K48),ISNUMBER(L48)),ROUND(K48/L48,2),"")</f>
        <v>0.79</v>
      </c>
      <c r="N48" s="9" t="s">
        <v>206</v>
      </c>
      <c r="O48" s="8" t="s">
        <v>6</v>
      </c>
      <c r="P48" s="9" t="s">
        <v>207</v>
      </c>
      <c r="Q48" s="7"/>
      <c r="R48" s="6" t="s">
        <v>208</v>
      </c>
    </row>
    <row r="49" customFormat="false" ht="15" hidden="false" customHeight="false" outlineLevel="0" collapsed="false">
      <c r="A49" s="6" t="n">
        <v>48</v>
      </c>
      <c r="B49" s="6" t="s">
        <v>10</v>
      </c>
      <c r="C49" s="10" t="s">
        <v>58</v>
      </c>
      <c r="D49" s="6" t="s">
        <v>51</v>
      </c>
      <c r="E49" s="6" t="s">
        <v>209</v>
      </c>
      <c r="F49" s="7" t="s">
        <v>210</v>
      </c>
      <c r="G49" s="6" t="s">
        <v>54</v>
      </c>
      <c r="H49" s="6" t="n">
        <v>200</v>
      </c>
      <c r="I49" s="6" t="n">
        <v>200</v>
      </c>
      <c r="J49" s="6" t="n">
        <v>123.5</v>
      </c>
      <c r="K49" s="6" t="n">
        <v>1672</v>
      </c>
      <c r="L49" s="6" t="n">
        <v>941</v>
      </c>
      <c r="M49" s="6" t="n">
        <f aca="false">IF(AND(ISNUMBER(K49),ISNUMBER(L49)),ROUND(K49/L49,2),"")</f>
        <v>1.78</v>
      </c>
      <c r="N49" s="9" t="s">
        <v>211</v>
      </c>
      <c r="O49" s="8" t="s">
        <v>6</v>
      </c>
      <c r="P49" s="9" t="s">
        <v>67</v>
      </c>
      <c r="Q49" s="7"/>
      <c r="R49" s="6" t="s">
        <v>212</v>
      </c>
    </row>
    <row r="50" customFormat="false" ht="15" hidden="false" customHeight="false" outlineLevel="0" collapsed="false">
      <c r="A50" s="6" t="n">
        <v>49</v>
      </c>
      <c r="B50" s="6" t="s">
        <v>10</v>
      </c>
      <c r="C50" s="10" t="s">
        <v>58</v>
      </c>
      <c r="D50" s="6" t="s">
        <v>51</v>
      </c>
      <c r="E50" s="6" t="s">
        <v>213</v>
      </c>
      <c r="F50" s="7" t="s">
        <v>214</v>
      </c>
      <c r="G50" s="6" t="s">
        <v>54</v>
      </c>
      <c r="H50" s="6" t="n">
        <v>200</v>
      </c>
      <c r="I50" s="6" t="n">
        <v>200</v>
      </c>
      <c r="J50" s="6" t="n">
        <v>10.6</v>
      </c>
      <c r="K50" s="6" t="n">
        <v>500</v>
      </c>
      <c r="L50" s="6" t="n">
        <v>427</v>
      </c>
      <c r="M50" s="6" t="n">
        <f aca="false">IF(AND(ISNUMBER(K50),ISNUMBER(L50)),ROUND(K50/L50,2),"")</f>
        <v>1.17</v>
      </c>
      <c r="N50" s="9" t="s">
        <v>101</v>
      </c>
      <c r="O50" s="8" t="s">
        <v>6</v>
      </c>
      <c r="P50" s="9" t="s">
        <v>67</v>
      </c>
      <c r="Q50" s="7"/>
      <c r="R50" s="6" t="s">
        <v>215</v>
      </c>
    </row>
    <row r="51" customFormat="false" ht="15" hidden="false" customHeight="false" outlineLevel="0" collapsed="false">
      <c r="A51" s="6" t="n">
        <v>50</v>
      </c>
      <c r="B51" s="6" t="s">
        <v>10</v>
      </c>
      <c r="C51" s="10" t="s">
        <v>58</v>
      </c>
      <c r="D51" s="6" t="s">
        <v>51</v>
      </c>
      <c r="E51" s="6" t="s">
        <v>216</v>
      </c>
      <c r="F51" s="7" t="s">
        <v>217</v>
      </c>
      <c r="G51" s="6" t="s">
        <v>54</v>
      </c>
      <c r="H51" s="6" t="n">
        <v>200</v>
      </c>
      <c r="I51" s="6" t="n">
        <v>200</v>
      </c>
      <c r="J51" s="6" t="n">
        <v>24</v>
      </c>
      <c r="K51" s="6" t="n">
        <v>500</v>
      </c>
      <c r="L51" s="6" t="n">
        <v>500</v>
      </c>
      <c r="M51" s="6" t="n">
        <f aca="false">IF(AND(ISNUMBER(K51),ISNUMBER(L51)),ROUND(K51/L51,2),"")</f>
        <v>1</v>
      </c>
      <c r="N51" s="9" t="s">
        <v>218</v>
      </c>
      <c r="O51" s="8" t="s">
        <v>6</v>
      </c>
      <c r="P51" s="9" t="s">
        <v>67</v>
      </c>
      <c r="Q51" s="7"/>
      <c r="R51" s="6" t="s">
        <v>219</v>
      </c>
    </row>
    <row r="52" customFormat="false" ht="15" hidden="false" customHeight="false" outlineLevel="0" collapsed="false">
      <c r="A52" s="6" t="n">
        <v>51</v>
      </c>
      <c r="B52" s="6" t="s">
        <v>10</v>
      </c>
      <c r="C52" s="10" t="s">
        <v>58</v>
      </c>
      <c r="D52" s="6" t="s">
        <v>51</v>
      </c>
      <c r="E52" s="6" t="s">
        <v>220</v>
      </c>
      <c r="F52" s="9" t="s">
        <v>221</v>
      </c>
      <c r="G52" s="6" t="s">
        <v>54</v>
      </c>
      <c r="H52" s="6" t="n">
        <v>200</v>
      </c>
      <c r="I52" s="6" t="n">
        <v>200</v>
      </c>
      <c r="J52" s="6" t="n">
        <v>63.6</v>
      </c>
      <c r="K52" s="6" t="n">
        <v>1264</v>
      </c>
      <c r="L52" s="6" t="n">
        <v>845</v>
      </c>
      <c r="M52" s="6" t="n">
        <f aca="false">IF(AND(ISNUMBER(K52),ISNUMBER(L52)),ROUND(K52/L52,2),"")</f>
        <v>1.5</v>
      </c>
      <c r="N52" s="9" t="s">
        <v>222</v>
      </c>
      <c r="O52" s="8" t="s">
        <v>6</v>
      </c>
      <c r="P52" s="9" t="s">
        <v>67</v>
      </c>
      <c r="Q52" s="7"/>
      <c r="R52" s="6" t="s">
        <v>223</v>
      </c>
    </row>
    <row r="53" customFormat="false" ht="15" hidden="false" customHeight="false" outlineLevel="0" collapsed="false">
      <c r="A53" s="6" t="n">
        <v>52</v>
      </c>
      <c r="B53" s="6" t="s">
        <v>10</v>
      </c>
      <c r="C53" s="10" t="s">
        <v>58</v>
      </c>
      <c r="D53" s="6" t="s">
        <v>51</v>
      </c>
      <c r="E53" s="6" t="s">
        <v>224</v>
      </c>
      <c r="F53" s="7" t="s">
        <v>225</v>
      </c>
      <c r="G53" s="6" t="s">
        <v>54</v>
      </c>
      <c r="H53" s="6" t="n">
        <v>200</v>
      </c>
      <c r="I53" s="6" t="n">
        <v>200</v>
      </c>
      <c r="J53" s="6" t="n">
        <v>60</v>
      </c>
      <c r="K53" s="6" t="n">
        <v>1000</v>
      </c>
      <c r="L53" s="6" t="n">
        <v>667</v>
      </c>
      <c r="M53" s="6" t="n">
        <f aca="false">IF(AND(ISNUMBER(K53),ISNUMBER(L53)),ROUND(K53/L53,2),"")</f>
        <v>1.5</v>
      </c>
      <c r="N53" s="9" t="s">
        <v>226</v>
      </c>
      <c r="O53" s="8" t="s">
        <v>6</v>
      </c>
      <c r="P53" s="9" t="s">
        <v>67</v>
      </c>
      <c r="Q53" s="7"/>
      <c r="R53" s="6" t="s">
        <v>227</v>
      </c>
    </row>
    <row r="54" customFormat="false" ht="15" hidden="false" customHeight="false" outlineLevel="0" collapsed="false">
      <c r="A54" s="6" t="n">
        <v>53</v>
      </c>
      <c r="B54" s="6" t="s">
        <v>10</v>
      </c>
      <c r="C54" s="10" t="s">
        <v>58</v>
      </c>
      <c r="D54" s="6" t="s">
        <v>51</v>
      </c>
      <c r="E54" s="6" t="s">
        <v>228</v>
      </c>
      <c r="F54" s="9" t="s">
        <v>107</v>
      </c>
      <c r="G54" s="6" t="s">
        <v>54</v>
      </c>
      <c r="H54" s="6" t="n">
        <v>200</v>
      </c>
      <c r="I54" s="6" t="n">
        <v>200</v>
      </c>
      <c r="J54" s="6" t="n">
        <v>169.1</v>
      </c>
      <c r="K54" s="6" t="n">
        <v>1672</v>
      </c>
      <c r="L54" s="6" t="n">
        <v>941</v>
      </c>
      <c r="M54" s="6" t="n">
        <f aca="false">IF(AND(ISNUMBER(K54),ISNUMBER(L54)),ROUND(K54/L54,2),"")</f>
        <v>1.78</v>
      </c>
      <c r="N54" s="9" t="s">
        <v>229</v>
      </c>
      <c r="O54" s="8" t="s">
        <v>6</v>
      </c>
      <c r="P54" s="9" t="s">
        <v>67</v>
      </c>
      <c r="Q54" s="7"/>
      <c r="R54" s="6" t="s">
        <v>109</v>
      </c>
    </row>
    <row r="55" customFormat="false" ht="15" hidden="false" customHeight="false" outlineLevel="0" collapsed="false">
      <c r="A55" s="6" t="n">
        <v>54</v>
      </c>
      <c r="B55" s="6" t="s">
        <v>10</v>
      </c>
      <c r="C55" s="10" t="s">
        <v>58</v>
      </c>
      <c r="D55" s="6" t="s">
        <v>51</v>
      </c>
      <c r="E55" s="6" t="s">
        <v>230</v>
      </c>
      <c r="F55" s="9" t="s">
        <v>113</v>
      </c>
      <c r="G55" s="6" t="s">
        <v>54</v>
      </c>
      <c r="H55" s="6" t="n">
        <v>200</v>
      </c>
      <c r="I55" s="6" t="n">
        <v>200</v>
      </c>
      <c r="J55" s="6" t="n">
        <v>192.5</v>
      </c>
      <c r="K55" s="6" t="n">
        <v>1672</v>
      </c>
      <c r="L55" s="6" t="n">
        <v>941</v>
      </c>
      <c r="M55" s="6" t="n">
        <f aca="false">IF(AND(ISNUMBER(K55),ISNUMBER(L55)),ROUND(K55/L55,2),"")</f>
        <v>1.78</v>
      </c>
      <c r="N55" s="9" t="s">
        <v>231</v>
      </c>
      <c r="O55" s="8" t="s">
        <v>6</v>
      </c>
      <c r="P55" s="9" t="s">
        <v>67</v>
      </c>
      <c r="Q55" s="7"/>
      <c r="R55" s="6" t="s">
        <v>115</v>
      </c>
    </row>
    <row r="56" customFormat="false" ht="15" hidden="false" customHeight="false" outlineLevel="0" collapsed="false">
      <c r="A56" s="6" t="n">
        <v>55</v>
      </c>
      <c r="B56" s="6" t="s">
        <v>10</v>
      </c>
      <c r="C56" s="10" t="s">
        <v>58</v>
      </c>
      <c r="D56" s="6" t="s">
        <v>51</v>
      </c>
      <c r="E56" s="6" t="s">
        <v>64</v>
      </c>
      <c r="F56" s="7" t="s">
        <v>139</v>
      </c>
      <c r="G56" s="6" t="s">
        <v>54</v>
      </c>
      <c r="H56" s="6" t="n">
        <v>200</v>
      </c>
      <c r="I56" s="6" t="n">
        <v>200</v>
      </c>
      <c r="J56" s="6" t="n">
        <v>8.9</v>
      </c>
      <c r="K56" s="6" t="n">
        <v>180</v>
      </c>
      <c r="L56" s="6" t="n">
        <v>168</v>
      </c>
      <c r="M56" s="6" t="n">
        <f aca="false">IF(AND(ISNUMBER(K56),ISNUMBER(L56)),ROUND(K56/L56,2),"")</f>
        <v>1.07</v>
      </c>
      <c r="N56" s="9" t="s">
        <v>232</v>
      </c>
      <c r="O56" s="8" t="s">
        <v>6</v>
      </c>
      <c r="P56" s="9" t="s">
        <v>67</v>
      </c>
      <c r="Q56" s="7"/>
      <c r="R56" s="6" t="s">
        <v>141</v>
      </c>
    </row>
    <row r="57" customFormat="false" ht="15" hidden="false" customHeight="false" outlineLevel="0" collapsed="false">
      <c r="A57" s="6" t="n">
        <v>56</v>
      </c>
      <c r="B57" s="6" t="s">
        <v>10</v>
      </c>
      <c r="C57" s="10" t="s">
        <v>58</v>
      </c>
      <c r="D57" s="6" t="s">
        <v>51</v>
      </c>
      <c r="E57" s="6" t="s">
        <v>64</v>
      </c>
      <c r="F57" s="7" t="s">
        <v>145</v>
      </c>
      <c r="G57" s="6" t="s">
        <v>54</v>
      </c>
      <c r="H57" s="6" t="n">
        <v>200</v>
      </c>
      <c r="I57" s="6" t="n">
        <v>200</v>
      </c>
      <c r="J57" s="6" t="n">
        <v>58.7</v>
      </c>
      <c r="K57" s="6" t="n">
        <v>1920</v>
      </c>
      <c r="L57" s="6" t="n">
        <v>1565</v>
      </c>
      <c r="M57" s="6" t="n">
        <f aca="false">IF(AND(ISNUMBER(K57),ISNUMBER(L57)),ROUND(K57/L57,2),"")</f>
        <v>1.23</v>
      </c>
      <c r="N57" s="7" t="s">
        <v>146</v>
      </c>
      <c r="O57" s="8" t="s">
        <v>6</v>
      </c>
      <c r="P57" s="9" t="s">
        <v>67</v>
      </c>
      <c r="Q57" s="7"/>
      <c r="R57" s="6" t="s">
        <v>147</v>
      </c>
    </row>
    <row r="58" customFormat="false" ht="15" hidden="false" customHeight="false" outlineLevel="0" collapsed="false">
      <c r="A58" s="6" t="n">
        <v>57</v>
      </c>
      <c r="B58" s="6" t="s">
        <v>10</v>
      </c>
      <c r="C58" s="10" t="s">
        <v>58</v>
      </c>
      <c r="D58" s="6" t="s">
        <v>51</v>
      </c>
      <c r="E58" s="6" t="s">
        <v>64</v>
      </c>
      <c r="F58" s="7" t="s">
        <v>142</v>
      </c>
      <c r="G58" s="6" t="s">
        <v>54</v>
      </c>
      <c r="H58" s="6" t="n">
        <v>200</v>
      </c>
      <c r="I58" s="6" t="n">
        <v>200</v>
      </c>
      <c r="J58" s="6" t="n">
        <v>19</v>
      </c>
      <c r="K58" s="6" t="n">
        <v>1920</v>
      </c>
      <c r="L58" s="6" t="n">
        <v>947</v>
      </c>
      <c r="M58" s="6" t="n">
        <f aca="false">IF(AND(ISNUMBER(K58),ISNUMBER(L58)),ROUND(K58/L58,2),"")</f>
        <v>2.03</v>
      </c>
      <c r="N58" s="7" t="s">
        <v>143</v>
      </c>
      <c r="O58" s="11" t="s">
        <v>5</v>
      </c>
      <c r="P58" s="7"/>
      <c r="Q58" s="7"/>
      <c r="R58" s="6" t="s">
        <v>144</v>
      </c>
    </row>
    <row r="59" customFormat="false" ht="15" hidden="false" customHeight="false" outlineLevel="0" collapsed="false">
      <c r="A59" s="6" t="n">
        <v>58</v>
      </c>
      <c r="B59" s="6" t="s">
        <v>10</v>
      </c>
      <c r="C59" s="10" t="s">
        <v>58</v>
      </c>
      <c r="D59" s="6" t="s">
        <v>51</v>
      </c>
      <c r="E59" s="6" t="s">
        <v>64</v>
      </c>
      <c r="F59" s="9" t="s">
        <v>148</v>
      </c>
      <c r="G59" s="6" t="s">
        <v>54</v>
      </c>
      <c r="H59" s="6" t="n">
        <v>200</v>
      </c>
      <c r="I59" s="6" t="n">
        <v>200</v>
      </c>
      <c r="J59" s="6" t="n">
        <v>19.1</v>
      </c>
      <c r="K59" s="6" t="n">
        <v>1887</v>
      </c>
      <c r="L59" s="6" t="n">
        <v>753</v>
      </c>
      <c r="M59" s="6" t="n">
        <f aca="false">IF(AND(ISNUMBER(K59),ISNUMBER(L59)),ROUND(K59/L59,2),"")</f>
        <v>2.51</v>
      </c>
      <c r="N59" s="9" t="s">
        <v>152</v>
      </c>
      <c r="O59" s="8" t="s">
        <v>6</v>
      </c>
      <c r="P59" s="9" t="s">
        <v>67</v>
      </c>
      <c r="Q59" s="7"/>
      <c r="R59" s="6" t="s">
        <v>150</v>
      </c>
    </row>
    <row r="60" customFormat="false" ht="15" hidden="false" customHeight="false" outlineLevel="0" collapsed="false">
      <c r="A60" s="6" t="n">
        <v>59</v>
      </c>
      <c r="B60" s="6" t="s">
        <v>10</v>
      </c>
      <c r="C60" s="10" t="s">
        <v>58</v>
      </c>
      <c r="D60" s="6" t="s">
        <v>51</v>
      </c>
      <c r="E60" s="6" t="s">
        <v>64</v>
      </c>
      <c r="F60" s="7" t="s">
        <v>233</v>
      </c>
      <c r="G60" s="6" t="s">
        <v>54</v>
      </c>
      <c r="H60" s="6" t="n">
        <v>200</v>
      </c>
      <c r="I60" s="6" t="n">
        <v>200</v>
      </c>
      <c r="J60" s="6" t="n">
        <v>18.1</v>
      </c>
      <c r="K60" s="6" t="n">
        <v>800</v>
      </c>
      <c r="L60" s="6" t="n">
        <v>386</v>
      </c>
      <c r="M60" s="6" t="n">
        <f aca="false">IF(AND(ISNUMBER(K60),ISNUMBER(L60)),ROUND(K60/L60,2),"")</f>
        <v>2.07</v>
      </c>
      <c r="N60" s="9" t="s">
        <v>234</v>
      </c>
      <c r="O60" s="8" t="s">
        <v>6</v>
      </c>
      <c r="P60" s="9" t="s">
        <v>67</v>
      </c>
      <c r="Q60" s="7"/>
      <c r="R60" s="6" t="s">
        <v>235</v>
      </c>
    </row>
    <row r="61" customFormat="false" ht="15" hidden="false" customHeight="false" outlineLevel="0" collapsed="false">
      <c r="A61" s="6" t="n">
        <v>60</v>
      </c>
      <c r="B61" s="6" t="s">
        <v>10</v>
      </c>
      <c r="C61" s="10" t="s">
        <v>58</v>
      </c>
      <c r="D61" s="6" t="s">
        <v>51</v>
      </c>
      <c r="E61" s="6" t="s">
        <v>64</v>
      </c>
      <c r="F61" s="9" t="s">
        <v>157</v>
      </c>
      <c r="G61" s="6" t="s">
        <v>54</v>
      </c>
      <c r="H61" s="6" t="n">
        <v>200</v>
      </c>
      <c r="I61" s="6" t="n">
        <v>200</v>
      </c>
      <c r="J61" s="6" t="n">
        <v>3.7</v>
      </c>
      <c r="K61" s="6" t="n">
        <v>403</v>
      </c>
      <c r="L61" s="6" t="n">
        <v>190</v>
      </c>
      <c r="M61" s="6" t="n">
        <f aca="false">IF(AND(ISNUMBER(K61),ISNUMBER(L61)),ROUND(K61/L61,2),"")</f>
        <v>2.12</v>
      </c>
      <c r="N61" s="7" t="s">
        <v>236</v>
      </c>
      <c r="O61" s="8" t="s">
        <v>6</v>
      </c>
      <c r="P61" s="9" t="s">
        <v>67</v>
      </c>
      <c r="Q61" s="7"/>
      <c r="R61" s="6" t="s">
        <v>159</v>
      </c>
    </row>
    <row r="62" customFormat="false" ht="15" hidden="false" customHeight="false" outlineLevel="0" collapsed="false">
      <c r="A62" s="6" t="n">
        <v>61</v>
      </c>
      <c r="B62" s="6" t="s">
        <v>10</v>
      </c>
      <c r="C62" s="10" t="s">
        <v>58</v>
      </c>
      <c r="D62" s="6" t="s">
        <v>51</v>
      </c>
      <c r="E62" s="6" t="s">
        <v>64</v>
      </c>
      <c r="F62" s="7" t="s">
        <v>167</v>
      </c>
      <c r="G62" s="6" t="s">
        <v>54</v>
      </c>
      <c r="H62" s="6" t="n">
        <v>200</v>
      </c>
      <c r="I62" s="6" t="n">
        <v>200</v>
      </c>
      <c r="J62" s="6" t="n">
        <v>150.2</v>
      </c>
      <c r="K62" s="6" t="n">
        <v>1915</v>
      </c>
      <c r="L62" s="6" t="n">
        <v>821</v>
      </c>
      <c r="M62" s="6" t="n">
        <f aca="false">IF(AND(ISNUMBER(K62),ISNUMBER(L62)),ROUND(K62/L62,2),"")</f>
        <v>2.33</v>
      </c>
      <c r="N62" s="9" t="s">
        <v>168</v>
      </c>
      <c r="O62" s="11" t="s">
        <v>5</v>
      </c>
      <c r="P62" s="7"/>
      <c r="Q62" s="7"/>
      <c r="R62" s="6" t="s">
        <v>169</v>
      </c>
    </row>
    <row r="63" customFormat="false" ht="15" hidden="false" customHeight="false" outlineLevel="0" collapsed="false">
      <c r="A63" s="6" t="n">
        <v>62</v>
      </c>
      <c r="B63" s="6" t="s">
        <v>10</v>
      </c>
      <c r="C63" s="6" t="s">
        <v>50</v>
      </c>
      <c r="D63" s="6" t="s">
        <v>51</v>
      </c>
      <c r="E63" s="6" t="s">
        <v>170</v>
      </c>
      <c r="F63" s="9" t="s">
        <v>171</v>
      </c>
      <c r="G63" s="6" t="s">
        <v>54</v>
      </c>
      <c r="H63" s="6" t="n">
        <v>200</v>
      </c>
      <c r="I63" s="6" t="n">
        <v>200</v>
      </c>
      <c r="J63" s="6" t="n">
        <v>51.5</v>
      </c>
      <c r="K63" s="6" t="n">
        <v>537</v>
      </c>
      <c r="L63" s="6" t="n">
        <v>403</v>
      </c>
      <c r="M63" s="6" t="n">
        <f aca="false">IF(AND(ISNUMBER(K63),ISNUMBER(L63)),ROUND(K63/L63,2),"")</f>
        <v>1.33</v>
      </c>
      <c r="N63" s="9" t="s">
        <v>172</v>
      </c>
      <c r="O63" s="11" t="s">
        <v>5</v>
      </c>
      <c r="P63" s="7"/>
      <c r="Q63" s="7"/>
      <c r="R63" s="6" t="s">
        <v>173</v>
      </c>
    </row>
    <row r="64" customFormat="false" ht="15" hidden="false" customHeight="false" outlineLevel="0" collapsed="false">
      <c r="A64" s="6" t="n">
        <v>63</v>
      </c>
      <c r="B64" s="6" t="s">
        <v>10</v>
      </c>
      <c r="C64" s="6" t="s">
        <v>50</v>
      </c>
      <c r="D64" s="6" t="s">
        <v>51</v>
      </c>
      <c r="E64" s="6" t="s">
        <v>174</v>
      </c>
      <c r="F64" s="7" t="s">
        <v>53</v>
      </c>
      <c r="G64" s="6" t="s">
        <v>54</v>
      </c>
      <c r="H64" s="6" t="n">
        <v>200</v>
      </c>
      <c r="I64" s="6" t="n">
        <v>200</v>
      </c>
      <c r="J64" s="6" t="n">
        <v>3.9</v>
      </c>
      <c r="K64" s="6" t="n">
        <v>442</v>
      </c>
      <c r="L64" s="6" t="n">
        <v>129</v>
      </c>
      <c r="M64" s="6" t="n">
        <f aca="false">IF(AND(ISNUMBER(K64),ISNUMBER(L64)),ROUND(K64/L64,2),"")</f>
        <v>3.43</v>
      </c>
      <c r="N64" s="7" t="s">
        <v>55</v>
      </c>
      <c r="O64" s="8" t="s">
        <v>6</v>
      </c>
      <c r="P64" s="9" t="s">
        <v>56</v>
      </c>
      <c r="Q64" s="7"/>
      <c r="R64" s="6" t="s">
        <v>57</v>
      </c>
    </row>
    <row r="65" customFormat="false" ht="15" hidden="false" customHeight="false" outlineLevel="0" collapsed="false">
      <c r="A65" s="6" t="n">
        <v>64</v>
      </c>
      <c r="B65" s="6" t="s">
        <v>10</v>
      </c>
      <c r="C65" s="6" t="s">
        <v>175</v>
      </c>
      <c r="D65" s="6" t="s">
        <v>176</v>
      </c>
      <c r="E65" s="6" t="s">
        <v>176</v>
      </c>
      <c r="F65" s="9" t="s">
        <v>237</v>
      </c>
      <c r="G65" s="6" t="s">
        <v>54</v>
      </c>
      <c r="H65" s="6" t="n">
        <v>200</v>
      </c>
      <c r="I65" s="6" t="s">
        <v>178</v>
      </c>
      <c r="J65" s="6" t="n">
        <v>2792.7</v>
      </c>
      <c r="K65" s="6" t="n">
        <v>1672</v>
      </c>
      <c r="L65" s="6" t="n">
        <v>941</v>
      </c>
      <c r="M65" s="6" t="n">
        <f aca="false">IF(AND(ISNUMBER(K65),ISNUMBER(L65)),ROUND(K65/L65,2),"")</f>
        <v>1.78</v>
      </c>
      <c r="N65" s="7" t="s">
        <v>179</v>
      </c>
      <c r="O65" s="8" t="s">
        <v>6</v>
      </c>
      <c r="P65" s="9" t="s">
        <v>180</v>
      </c>
      <c r="Q65" s="7"/>
      <c r="R65" s="6" t="s">
        <v>238</v>
      </c>
    </row>
    <row r="66" customFormat="false" ht="15" hidden="false" customHeight="false" outlineLevel="0" collapsed="false">
      <c r="A66" s="6" t="n">
        <v>65</v>
      </c>
      <c r="B66" s="6" t="s">
        <v>11</v>
      </c>
      <c r="C66" s="6" t="s">
        <v>50</v>
      </c>
      <c r="D66" s="6" t="s">
        <v>51</v>
      </c>
      <c r="E66" s="6" t="s">
        <v>52</v>
      </c>
      <c r="F66" s="7" t="s">
        <v>53</v>
      </c>
      <c r="G66" s="6" t="s">
        <v>54</v>
      </c>
      <c r="H66" s="6" t="n">
        <v>200</v>
      </c>
      <c r="I66" s="6" t="n">
        <v>200</v>
      </c>
      <c r="J66" s="6" t="n">
        <v>3.9</v>
      </c>
      <c r="K66" s="6" t="n">
        <v>442</v>
      </c>
      <c r="L66" s="6" t="n">
        <v>129</v>
      </c>
      <c r="M66" s="6" t="n">
        <f aca="false">IF(AND(ISNUMBER(K66),ISNUMBER(L66)),ROUND(K66/L66,2),"")</f>
        <v>3.43</v>
      </c>
      <c r="N66" s="7" t="s">
        <v>55</v>
      </c>
      <c r="O66" s="8" t="s">
        <v>6</v>
      </c>
      <c r="P66" s="9" t="s">
        <v>56</v>
      </c>
      <c r="Q66" s="7"/>
      <c r="R66" s="6" t="s">
        <v>57</v>
      </c>
    </row>
    <row r="67" customFormat="false" ht="15" hidden="false" customHeight="false" outlineLevel="0" collapsed="false">
      <c r="A67" s="6" t="n">
        <v>66</v>
      </c>
      <c r="B67" s="6" t="s">
        <v>11</v>
      </c>
      <c r="C67" s="10" t="s">
        <v>58</v>
      </c>
      <c r="D67" s="6" t="s">
        <v>51</v>
      </c>
      <c r="E67" s="6" t="s">
        <v>182</v>
      </c>
      <c r="F67" s="7" t="s">
        <v>239</v>
      </c>
      <c r="G67" s="6" t="s">
        <v>54</v>
      </c>
      <c r="H67" s="6" t="n">
        <v>200</v>
      </c>
      <c r="I67" s="6" t="n">
        <v>200</v>
      </c>
      <c r="J67" s="6" t="n">
        <v>278.5</v>
      </c>
      <c r="K67" s="6" t="n">
        <v>1920</v>
      </c>
      <c r="L67" s="6" t="n">
        <v>768</v>
      </c>
      <c r="M67" s="6" t="n">
        <f aca="false">IF(AND(ISNUMBER(K67),ISNUMBER(L67)),ROUND(K67/L67,2),"")</f>
        <v>2.5</v>
      </c>
      <c r="N67" s="7" t="s">
        <v>240</v>
      </c>
      <c r="O67" s="11" t="s">
        <v>5</v>
      </c>
      <c r="P67" s="7"/>
      <c r="Q67" s="7"/>
      <c r="R67" s="6" t="s">
        <v>241</v>
      </c>
    </row>
    <row r="68" customFormat="false" ht="15" hidden="false" customHeight="false" outlineLevel="0" collapsed="false">
      <c r="A68" s="6" t="n">
        <v>67</v>
      </c>
      <c r="B68" s="6" t="s">
        <v>11</v>
      </c>
      <c r="C68" s="10" t="s">
        <v>58</v>
      </c>
      <c r="D68" s="6" t="s">
        <v>51</v>
      </c>
      <c r="E68" s="6" t="s">
        <v>242</v>
      </c>
      <c r="F68" s="7" t="s">
        <v>243</v>
      </c>
      <c r="G68" s="6" t="s">
        <v>54</v>
      </c>
      <c r="H68" s="6" t="n">
        <v>200</v>
      </c>
      <c r="I68" s="6" t="n">
        <v>200</v>
      </c>
      <c r="J68" s="6" t="n">
        <v>23.3</v>
      </c>
      <c r="K68" s="6" t="n">
        <v>756</v>
      </c>
      <c r="L68" s="6" t="n">
        <v>1049</v>
      </c>
      <c r="M68" s="6" t="n">
        <f aca="false">IF(AND(ISNUMBER(K68),ISNUMBER(L68)),ROUND(K68/L68,2),"")</f>
        <v>0.72</v>
      </c>
      <c r="N68" s="7" t="s">
        <v>244</v>
      </c>
      <c r="O68" s="8" t="s">
        <v>6</v>
      </c>
      <c r="P68" s="9" t="s">
        <v>245</v>
      </c>
      <c r="Q68" s="7"/>
      <c r="R68" s="6" t="s">
        <v>246</v>
      </c>
    </row>
    <row r="69" customFormat="false" ht="15" hidden="false" customHeight="false" outlineLevel="0" collapsed="false">
      <c r="A69" s="6" t="n">
        <v>68</v>
      </c>
      <c r="B69" s="6" t="s">
        <v>11</v>
      </c>
      <c r="C69" s="10" t="s">
        <v>58</v>
      </c>
      <c r="D69" s="6" t="s">
        <v>51</v>
      </c>
      <c r="E69" s="6" t="s">
        <v>247</v>
      </c>
      <c r="F69" s="7" t="s">
        <v>96</v>
      </c>
      <c r="G69" s="6" t="s">
        <v>54</v>
      </c>
      <c r="H69" s="6" t="n">
        <v>200</v>
      </c>
      <c r="I69" s="6" t="n">
        <v>200</v>
      </c>
      <c r="J69" s="6" t="n">
        <v>15.2</v>
      </c>
      <c r="K69" s="6" t="n">
        <v>520</v>
      </c>
      <c r="L69" s="6" t="n">
        <v>728</v>
      </c>
      <c r="M69" s="6" t="n">
        <f aca="false">IF(AND(ISNUMBER(K69),ISNUMBER(L69)),ROUND(K69/L69,2),"")</f>
        <v>0.71</v>
      </c>
      <c r="N69" s="7" t="s">
        <v>248</v>
      </c>
      <c r="O69" s="8" t="s">
        <v>6</v>
      </c>
      <c r="P69" s="9" t="s">
        <v>98</v>
      </c>
      <c r="Q69" s="7"/>
      <c r="R69" s="6" t="s">
        <v>99</v>
      </c>
    </row>
    <row r="70" customFormat="false" ht="15" hidden="false" customHeight="false" outlineLevel="0" collapsed="false">
      <c r="A70" s="6" t="n">
        <v>69</v>
      </c>
      <c r="B70" s="6" t="s">
        <v>11</v>
      </c>
      <c r="C70" s="10" t="s">
        <v>58</v>
      </c>
      <c r="D70" s="6" t="s">
        <v>51</v>
      </c>
      <c r="E70" s="6" t="s">
        <v>249</v>
      </c>
      <c r="F70" s="7" t="s">
        <v>250</v>
      </c>
      <c r="G70" s="6" t="s">
        <v>54</v>
      </c>
      <c r="H70" s="6" t="n">
        <v>200</v>
      </c>
      <c r="I70" s="6" t="n">
        <v>200</v>
      </c>
      <c r="J70" s="6" t="n">
        <v>93.2</v>
      </c>
      <c r="K70" s="6" t="n">
        <v>1376</v>
      </c>
      <c r="L70" s="6" t="n">
        <v>768</v>
      </c>
      <c r="M70" s="6" t="n">
        <f aca="false">IF(AND(ISNUMBER(K70),ISNUMBER(L70)),ROUND(K70/L70,2),"")</f>
        <v>1.79</v>
      </c>
      <c r="N70" s="9" t="s">
        <v>251</v>
      </c>
      <c r="O70" s="8" t="s">
        <v>6</v>
      </c>
      <c r="P70" s="9" t="s">
        <v>67</v>
      </c>
      <c r="Q70" s="7"/>
      <c r="R70" s="6" t="s">
        <v>252</v>
      </c>
    </row>
    <row r="71" customFormat="false" ht="15" hidden="false" customHeight="false" outlineLevel="0" collapsed="false">
      <c r="A71" s="6" t="n">
        <v>70</v>
      </c>
      <c r="B71" s="6" t="s">
        <v>11</v>
      </c>
      <c r="C71" s="10" t="s">
        <v>58</v>
      </c>
      <c r="D71" s="6" t="s">
        <v>51</v>
      </c>
      <c r="E71" s="6" t="s">
        <v>253</v>
      </c>
      <c r="F71" s="9" t="s">
        <v>254</v>
      </c>
      <c r="G71" s="6" t="s">
        <v>54</v>
      </c>
      <c r="H71" s="6" t="n">
        <v>200</v>
      </c>
      <c r="I71" s="6" t="n">
        <v>200</v>
      </c>
      <c r="J71" s="6" t="n">
        <v>182.1</v>
      </c>
      <c r="K71" s="6" t="n">
        <v>1916</v>
      </c>
      <c r="L71" s="6" t="n">
        <v>821</v>
      </c>
      <c r="M71" s="6" t="n">
        <f aca="false">IF(AND(ISNUMBER(K71),ISNUMBER(L71)),ROUND(K71/L71,2),"")</f>
        <v>2.33</v>
      </c>
      <c r="N71" s="9" t="s">
        <v>255</v>
      </c>
      <c r="O71" s="11" t="s">
        <v>5</v>
      </c>
      <c r="P71" s="7"/>
      <c r="Q71" s="7"/>
      <c r="R71" s="6" t="s">
        <v>256</v>
      </c>
    </row>
    <row r="72" customFormat="false" ht="26.85" hidden="false" customHeight="false" outlineLevel="0" collapsed="false">
      <c r="A72" s="6" t="n">
        <v>71</v>
      </c>
      <c r="B72" s="6" t="s">
        <v>11</v>
      </c>
      <c r="C72" s="10" t="s">
        <v>58</v>
      </c>
      <c r="D72" s="6" t="s">
        <v>51</v>
      </c>
      <c r="E72" s="6" t="s">
        <v>257</v>
      </c>
      <c r="F72" s="9" t="s">
        <v>258</v>
      </c>
      <c r="G72" s="6" t="s">
        <v>54</v>
      </c>
      <c r="H72" s="6" t="n">
        <v>200</v>
      </c>
      <c r="I72" s="6" t="n">
        <v>200</v>
      </c>
      <c r="J72" s="6" t="n">
        <v>86.3</v>
      </c>
      <c r="K72" s="6" t="n">
        <v>1017</v>
      </c>
      <c r="L72" s="6" t="n">
        <v>764</v>
      </c>
      <c r="M72" s="6" t="n">
        <f aca="false">IF(AND(ISNUMBER(K72),ISNUMBER(L72)),ROUND(K72/L72,2),"")</f>
        <v>1.33</v>
      </c>
      <c r="N72" s="7" t="s">
        <v>259</v>
      </c>
      <c r="O72" s="11" t="s">
        <v>5</v>
      </c>
      <c r="P72" s="7"/>
      <c r="Q72" s="7"/>
      <c r="R72" s="6" t="s">
        <v>260</v>
      </c>
    </row>
    <row r="73" customFormat="false" ht="15" hidden="false" customHeight="false" outlineLevel="0" collapsed="false">
      <c r="A73" s="6" t="n">
        <v>72</v>
      </c>
      <c r="B73" s="6" t="s">
        <v>11</v>
      </c>
      <c r="C73" s="10" t="s">
        <v>58</v>
      </c>
      <c r="D73" s="6" t="s">
        <v>51</v>
      </c>
      <c r="E73" s="6" t="s">
        <v>261</v>
      </c>
      <c r="F73" s="7" t="s">
        <v>214</v>
      </c>
      <c r="G73" s="6" t="s">
        <v>54</v>
      </c>
      <c r="H73" s="6" t="n">
        <v>200</v>
      </c>
      <c r="I73" s="6" t="n">
        <v>200</v>
      </c>
      <c r="J73" s="6" t="n">
        <v>10.6</v>
      </c>
      <c r="K73" s="6" t="n">
        <v>500</v>
      </c>
      <c r="L73" s="6" t="n">
        <v>427</v>
      </c>
      <c r="M73" s="6" t="n">
        <f aca="false">IF(AND(ISNUMBER(K73),ISNUMBER(L73)),ROUND(K73/L73,2),"")</f>
        <v>1.17</v>
      </c>
      <c r="N73" s="9" t="s">
        <v>262</v>
      </c>
      <c r="O73" s="8" t="s">
        <v>6</v>
      </c>
      <c r="P73" s="9" t="s">
        <v>67</v>
      </c>
      <c r="Q73" s="7"/>
      <c r="R73" s="6" t="s">
        <v>215</v>
      </c>
    </row>
    <row r="74" customFormat="false" ht="15" hidden="false" customHeight="false" outlineLevel="0" collapsed="false">
      <c r="A74" s="6" t="n">
        <v>73</v>
      </c>
      <c r="B74" s="6" t="s">
        <v>11</v>
      </c>
      <c r="C74" s="10" t="s">
        <v>58</v>
      </c>
      <c r="D74" s="6" t="s">
        <v>51</v>
      </c>
      <c r="E74" s="6" t="s">
        <v>263</v>
      </c>
      <c r="F74" s="9" t="s">
        <v>192</v>
      </c>
      <c r="G74" s="6" t="s">
        <v>54</v>
      </c>
      <c r="H74" s="6" t="n">
        <v>200</v>
      </c>
      <c r="I74" s="6" t="n">
        <v>200</v>
      </c>
      <c r="J74" s="6" t="n">
        <v>16.9</v>
      </c>
      <c r="K74" s="6" t="n">
        <v>569</v>
      </c>
      <c r="L74" s="6" t="n">
        <v>288</v>
      </c>
      <c r="M74" s="6" t="n">
        <f aca="false">IF(AND(ISNUMBER(K74),ISNUMBER(L74)),ROUND(K74/L74,2),"")</f>
        <v>1.98</v>
      </c>
      <c r="N74" s="7" t="s">
        <v>264</v>
      </c>
      <c r="O74" s="8" t="s">
        <v>6</v>
      </c>
      <c r="P74" s="9" t="s">
        <v>67</v>
      </c>
      <c r="Q74" s="7"/>
      <c r="R74" s="6" t="s">
        <v>194</v>
      </c>
    </row>
    <row r="75" customFormat="false" ht="15" hidden="false" customHeight="false" outlineLevel="0" collapsed="false">
      <c r="A75" s="6" t="n">
        <v>74</v>
      </c>
      <c r="B75" s="6" t="s">
        <v>11</v>
      </c>
      <c r="C75" s="10" t="s">
        <v>58</v>
      </c>
      <c r="D75" s="6" t="s">
        <v>51</v>
      </c>
      <c r="E75" s="6" t="s">
        <v>265</v>
      </c>
      <c r="F75" s="7" t="s">
        <v>266</v>
      </c>
      <c r="G75" s="6" t="s">
        <v>54</v>
      </c>
      <c r="H75" s="6" t="n">
        <v>200</v>
      </c>
      <c r="I75" s="6" t="n">
        <v>200</v>
      </c>
      <c r="J75" s="6" t="n">
        <v>102.5</v>
      </c>
      <c r="K75" s="6" t="n">
        <v>1376</v>
      </c>
      <c r="L75" s="6" t="n">
        <v>768</v>
      </c>
      <c r="M75" s="6" t="n">
        <f aca="false">IF(AND(ISNUMBER(K75),ISNUMBER(L75)),ROUND(K75/L75,2),"")</f>
        <v>1.79</v>
      </c>
      <c r="N75" s="9" t="s">
        <v>267</v>
      </c>
      <c r="O75" s="8" t="s">
        <v>6</v>
      </c>
      <c r="P75" s="9" t="s">
        <v>67</v>
      </c>
      <c r="Q75" s="7"/>
      <c r="R75" s="6" t="s">
        <v>268</v>
      </c>
    </row>
    <row r="76" customFormat="false" ht="15" hidden="false" customHeight="false" outlineLevel="0" collapsed="false">
      <c r="A76" s="6" t="n">
        <v>75</v>
      </c>
      <c r="B76" s="6" t="s">
        <v>11</v>
      </c>
      <c r="C76" s="10" t="s">
        <v>58</v>
      </c>
      <c r="D76" s="6" t="s">
        <v>51</v>
      </c>
      <c r="E76" s="6" t="s">
        <v>269</v>
      </c>
      <c r="F76" s="7" t="s">
        <v>270</v>
      </c>
      <c r="G76" s="6" t="s">
        <v>54</v>
      </c>
      <c r="H76" s="6" t="n">
        <v>200</v>
      </c>
      <c r="I76" s="6" t="n">
        <v>200</v>
      </c>
      <c r="J76" s="6" t="n">
        <v>153.2</v>
      </c>
      <c r="K76" s="6" t="n">
        <v>1376</v>
      </c>
      <c r="L76" s="6" t="n">
        <v>768</v>
      </c>
      <c r="M76" s="6" t="n">
        <f aca="false">IF(AND(ISNUMBER(K76),ISNUMBER(L76)),ROUND(K76/L76,2),"")</f>
        <v>1.79</v>
      </c>
      <c r="N76" s="9" t="s">
        <v>271</v>
      </c>
      <c r="O76" s="8" t="s">
        <v>6</v>
      </c>
      <c r="P76" s="9" t="s">
        <v>67</v>
      </c>
      <c r="Q76" s="7"/>
      <c r="R76" s="6" t="s">
        <v>272</v>
      </c>
    </row>
    <row r="77" customFormat="false" ht="29.85" hidden="false" customHeight="false" outlineLevel="0" collapsed="false">
      <c r="A77" s="6" t="n">
        <v>76</v>
      </c>
      <c r="B77" s="6" t="s">
        <v>11</v>
      </c>
      <c r="C77" s="10" t="s">
        <v>58</v>
      </c>
      <c r="D77" s="6" t="s">
        <v>51</v>
      </c>
      <c r="E77" s="6" t="s">
        <v>273</v>
      </c>
      <c r="F77" s="9" t="s">
        <v>274</v>
      </c>
      <c r="G77" s="6" t="s">
        <v>54</v>
      </c>
      <c r="H77" s="6" t="n">
        <v>200</v>
      </c>
      <c r="I77" s="6" t="n">
        <v>200</v>
      </c>
      <c r="J77" s="6" t="n">
        <v>44</v>
      </c>
      <c r="K77" s="6" t="n">
        <v>1376</v>
      </c>
      <c r="L77" s="6" t="n">
        <v>768</v>
      </c>
      <c r="M77" s="6" t="n">
        <f aca="false">IF(AND(ISNUMBER(K77),ISNUMBER(L77)),ROUND(K77/L77,2),"")</f>
        <v>1.79</v>
      </c>
      <c r="N77" s="9" t="s">
        <v>275</v>
      </c>
      <c r="O77" s="8" t="s">
        <v>6</v>
      </c>
      <c r="P77" s="9" t="s">
        <v>74</v>
      </c>
      <c r="Q77" s="7"/>
      <c r="R77" s="6" t="s">
        <v>276</v>
      </c>
    </row>
    <row r="78" customFormat="false" ht="29.85" hidden="false" customHeight="false" outlineLevel="0" collapsed="false">
      <c r="A78" s="6" t="n">
        <v>77</v>
      </c>
      <c r="B78" s="6" t="s">
        <v>11</v>
      </c>
      <c r="C78" s="10" t="s">
        <v>58</v>
      </c>
      <c r="D78" s="6" t="s">
        <v>51</v>
      </c>
      <c r="E78" s="6" t="s">
        <v>277</v>
      </c>
      <c r="F78" s="9" t="s">
        <v>274</v>
      </c>
      <c r="G78" s="6" t="s">
        <v>54</v>
      </c>
      <c r="H78" s="6" t="n">
        <v>200</v>
      </c>
      <c r="I78" s="6" t="n">
        <v>200</v>
      </c>
      <c r="J78" s="6" t="n">
        <v>44</v>
      </c>
      <c r="K78" s="6" t="n">
        <v>1376</v>
      </c>
      <c r="L78" s="6" t="n">
        <v>768</v>
      </c>
      <c r="M78" s="6" t="n">
        <f aca="false">IF(AND(ISNUMBER(K78),ISNUMBER(L78)),ROUND(K78/L78,2),"")</f>
        <v>1.79</v>
      </c>
      <c r="N78" s="9" t="s">
        <v>278</v>
      </c>
      <c r="O78" s="8" t="s">
        <v>6</v>
      </c>
      <c r="P78" s="9" t="s">
        <v>74</v>
      </c>
      <c r="Q78" s="7"/>
      <c r="R78" s="6" t="s">
        <v>276</v>
      </c>
    </row>
    <row r="79" customFormat="false" ht="15" hidden="false" customHeight="false" outlineLevel="0" collapsed="false">
      <c r="A79" s="6" t="n">
        <v>78</v>
      </c>
      <c r="B79" s="6" t="s">
        <v>11</v>
      </c>
      <c r="C79" s="10" t="s">
        <v>58</v>
      </c>
      <c r="D79" s="6" t="s">
        <v>51</v>
      </c>
      <c r="E79" s="6" t="s">
        <v>279</v>
      </c>
      <c r="F79" s="7" t="s">
        <v>280</v>
      </c>
      <c r="G79" s="6" t="s">
        <v>54</v>
      </c>
      <c r="H79" s="6" t="n">
        <v>200</v>
      </c>
      <c r="I79" s="6" t="n">
        <v>200</v>
      </c>
      <c r="J79" s="6" t="n">
        <v>25.6</v>
      </c>
      <c r="K79" s="6" t="n">
        <v>824</v>
      </c>
      <c r="L79" s="6" t="n">
        <v>571</v>
      </c>
      <c r="M79" s="6" t="n">
        <f aca="false">IF(AND(ISNUMBER(K79),ISNUMBER(L79)),ROUND(K79/L79,2),"")</f>
        <v>1.44</v>
      </c>
      <c r="N79" s="7" t="s">
        <v>281</v>
      </c>
      <c r="O79" s="8" t="s">
        <v>6</v>
      </c>
      <c r="P79" s="9" t="s">
        <v>67</v>
      </c>
      <c r="Q79" s="7"/>
      <c r="R79" s="6" t="s">
        <v>282</v>
      </c>
    </row>
    <row r="80" customFormat="false" ht="15" hidden="false" customHeight="false" outlineLevel="0" collapsed="false">
      <c r="A80" s="6" t="n">
        <v>79</v>
      </c>
      <c r="B80" s="6" t="s">
        <v>11</v>
      </c>
      <c r="C80" s="10" t="s">
        <v>58</v>
      </c>
      <c r="D80" s="6" t="s">
        <v>51</v>
      </c>
      <c r="E80" s="6" t="s">
        <v>283</v>
      </c>
      <c r="F80" s="9" t="s">
        <v>284</v>
      </c>
      <c r="G80" s="6" t="s">
        <v>54</v>
      </c>
      <c r="H80" s="6" t="n">
        <v>200</v>
      </c>
      <c r="I80" s="6" t="n">
        <v>200</v>
      </c>
      <c r="J80" s="6" t="n">
        <v>91.6</v>
      </c>
      <c r="K80" s="6" t="n">
        <v>1376</v>
      </c>
      <c r="L80" s="6" t="n">
        <v>768</v>
      </c>
      <c r="M80" s="6" t="n">
        <f aca="false">IF(AND(ISNUMBER(K80),ISNUMBER(L80)),ROUND(K80/L80,2),"")</f>
        <v>1.79</v>
      </c>
      <c r="N80" s="9" t="s">
        <v>285</v>
      </c>
      <c r="O80" s="8" t="s">
        <v>6</v>
      </c>
      <c r="P80" s="9" t="s">
        <v>67</v>
      </c>
      <c r="Q80" s="7"/>
      <c r="R80" s="6" t="s">
        <v>286</v>
      </c>
    </row>
    <row r="81" customFormat="false" ht="15" hidden="false" customHeight="false" outlineLevel="0" collapsed="false">
      <c r="A81" s="6" t="n">
        <v>80</v>
      </c>
      <c r="B81" s="6" t="s">
        <v>11</v>
      </c>
      <c r="C81" s="10" t="s">
        <v>58</v>
      </c>
      <c r="D81" s="6" t="s">
        <v>51</v>
      </c>
      <c r="E81" s="6" t="s">
        <v>287</v>
      </c>
      <c r="F81" s="9" t="s">
        <v>288</v>
      </c>
      <c r="G81" s="6" t="s">
        <v>54</v>
      </c>
      <c r="H81" s="6" t="n">
        <v>200</v>
      </c>
      <c r="I81" s="6" t="n">
        <v>200</v>
      </c>
      <c r="J81" s="6" t="n">
        <v>109.7</v>
      </c>
      <c r="K81" s="6" t="n">
        <v>1377</v>
      </c>
      <c r="L81" s="6" t="n">
        <v>768</v>
      </c>
      <c r="M81" s="6" t="n">
        <f aca="false">IF(AND(ISNUMBER(K81),ISNUMBER(L81)),ROUND(K81/L81,2),"")</f>
        <v>1.79</v>
      </c>
      <c r="N81" s="9" t="s">
        <v>289</v>
      </c>
      <c r="O81" s="11" t="s">
        <v>5</v>
      </c>
      <c r="P81" s="7"/>
      <c r="Q81" s="7"/>
      <c r="R81" s="6" t="s">
        <v>290</v>
      </c>
    </row>
    <row r="82" customFormat="false" ht="15" hidden="false" customHeight="false" outlineLevel="0" collapsed="false">
      <c r="A82" s="6" t="n">
        <v>81</v>
      </c>
      <c r="B82" s="6" t="s">
        <v>11</v>
      </c>
      <c r="C82" s="10" t="s">
        <v>58</v>
      </c>
      <c r="D82" s="6" t="s">
        <v>51</v>
      </c>
      <c r="E82" s="6" t="s">
        <v>291</v>
      </c>
      <c r="F82" s="7" t="s">
        <v>292</v>
      </c>
      <c r="G82" s="6" t="s">
        <v>54</v>
      </c>
      <c r="H82" s="6" t="n">
        <v>200</v>
      </c>
      <c r="I82" s="6" t="n">
        <v>200</v>
      </c>
      <c r="J82" s="6" t="n">
        <v>81.5</v>
      </c>
      <c r="K82" s="6" t="n">
        <v>800</v>
      </c>
      <c r="L82" s="6" t="n">
        <v>600</v>
      </c>
      <c r="M82" s="6" t="n">
        <f aca="false">IF(AND(ISNUMBER(K82),ISNUMBER(L82)),ROUND(K82/L82,2),"")</f>
        <v>1.33</v>
      </c>
      <c r="N82" s="7" t="s">
        <v>293</v>
      </c>
      <c r="O82" s="8" t="s">
        <v>6</v>
      </c>
      <c r="P82" s="9" t="s">
        <v>67</v>
      </c>
      <c r="Q82" s="7"/>
      <c r="R82" s="6" t="s">
        <v>294</v>
      </c>
    </row>
    <row r="83" customFormat="false" ht="15" hidden="false" customHeight="false" outlineLevel="0" collapsed="false">
      <c r="A83" s="6" t="n">
        <v>82</v>
      </c>
      <c r="B83" s="6" t="s">
        <v>11</v>
      </c>
      <c r="C83" s="10" t="s">
        <v>58</v>
      </c>
      <c r="D83" s="6" t="s">
        <v>51</v>
      </c>
      <c r="E83" s="6" t="s">
        <v>295</v>
      </c>
      <c r="F83" s="7" t="s">
        <v>225</v>
      </c>
      <c r="G83" s="6" t="s">
        <v>54</v>
      </c>
      <c r="H83" s="6" t="n">
        <v>200</v>
      </c>
      <c r="I83" s="6" t="n">
        <v>200</v>
      </c>
      <c r="J83" s="6" t="n">
        <v>60</v>
      </c>
      <c r="K83" s="6" t="n">
        <v>1000</v>
      </c>
      <c r="L83" s="6" t="n">
        <v>667</v>
      </c>
      <c r="M83" s="6" t="n">
        <f aca="false">IF(AND(ISNUMBER(K83),ISNUMBER(L83)),ROUND(K83/L83,2),"")</f>
        <v>1.5</v>
      </c>
      <c r="N83" s="9" t="s">
        <v>226</v>
      </c>
      <c r="O83" s="8" t="s">
        <v>6</v>
      </c>
      <c r="P83" s="9" t="s">
        <v>67</v>
      </c>
      <c r="Q83" s="7"/>
      <c r="R83" s="6" t="s">
        <v>227</v>
      </c>
    </row>
    <row r="84" customFormat="false" ht="29.85" hidden="false" customHeight="false" outlineLevel="0" collapsed="false">
      <c r="A84" s="6" t="n">
        <v>83</v>
      </c>
      <c r="B84" s="6" t="s">
        <v>11</v>
      </c>
      <c r="C84" s="10" t="s">
        <v>58</v>
      </c>
      <c r="D84" s="6" t="s">
        <v>51</v>
      </c>
      <c r="E84" s="6" t="s">
        <v>296</v>
      </c>
      <c r="F84" s="7" t="s">
        <v>297</v>
      </c>
      <c r="G84" s="6" t="s">
        <v>54</v>
      </c>
      <c r="H84" s="6" t="n">
        <v>200</v>
      </c>
      <c r="I84" s="6" t="n">
        <v>200</v>
      </c>
      <c r="J84" s="6" t="n">
        <v>47.5</v>
      </c>
      <c r="K84" s="6" t="n">
        <v>1233</v>
      </c>
      <c r="L84" s="6" t="n">
        <v>673</v>
      </c>
      <c r="M84" s="6" t="n">
        <f aca="false">IF(AND(ISNUMBER(K84),ISNUMBER(L84)),ROUND(K84/L84,2),"")</f>
        <v>1.83</v>
      </c>
      <c r="N84" s="9" t="s">
        <v>298</v>
      </c>
      <c r="O84" s="11" t="s">
        <v>5</v>
      </c>
      <c r="P84" s="7"/>
      <c r="Q84" s="7"/>
      <c r="R84" s="6" t="s">
        <v>299</v>
      </c>
    </row>
    <row r="85" customFormat="false" ht="15" hidden="false" customHeight="false" outlineLevel="0" collapsed="false">
      <c r="A85" s="6" t="n">
        <v>84</v>
      </c>
      <c r="B85" s="6" t="s">
        <v>11</v>
      </c>
      <c r="C85" s="10" t="s">
        <v>58</v>
      </c>
      <c r="D85" s="6" t="s">
        <v>51</v>
      </c>
      <c r="E85" s="6" t="s">
        <v>300</v>
      </c>
      <c r="F85" s="9" t="s">
        <v>110</v>
      </c>
      <c r="G85" s="6" t="s">
        <v>54</v>
      </c>
      <c r="H85" s="6" t="n">
        <v>200</v>
      </c>
      <c r="I85" s="6" t="n">
        <v>200</v>
      </c>
      <c r="J85" s="6" t="n">
        <v>159.7</v>
      </c>
      <c r="K85" s="6" t="n">
        <v>1672</v>
      </c>
      <c r="L85" s="6" t="n">
        <v>941</v>
      </c>
      <c r="M85" s="6" t="n">
        <f aca="false">IF(AND(ISNUMBER(K85),ISNUMBER(L85)),ROUND(K85/L85,2),"")</f>
        <v>1.78</v>
      </c>
      <c r="N85" s="9" t="s">
        <v>301</v>
      </c>
      <c r="O85" s="11" t="s">
        <v>5</v>
      </c>
      <c r="P85" s="7"/>
      <c r="Q85" s="7"/>
      <c r="R85" s="6" t="s">
        <v>112</v>
      </c>
    </row>
    <row r="86" customFormat="false" ht="15" hidden="false" customHeight="false" outlineLevel="0" collapsed="false">
      <c r="A86" s="6" t="n">
        <v>85</v>
      </c>
      <c r="B86" s="6" t="s">
        <v>11</v>
      </c>
      <c r="C86" s="10" t="s">
        <v>58</v>
      </c>
      <c r="D86" s="6" t="s">
        <v>51</v>
      </c>
      <c r="E86" s="6" t="s">
        <v>302</v>
      </c>
      <c r="F86" s="7" t="s">
        <v>303</v>
      </c>
      <c r="G86" s="6" t="s">
        <v>54</v>
      </c>
      <c r="H86" s="6" t="n">
        <v>200</v>
      </c>
      <c r="I86" s="6" t="n">
        <v>200</v>
      </c>
      <c r="J86" s="6" t="n">
        <v>31.5</v>
      </c>
      <c r="K86" s="6" t="n">
        <v>627</v>
      </c>
      <c r="L86" s="6" t="n">
        <v>576</v>
      </c>
      <c r="M86" s="6" t="n">
        <f aca="false">IF(AND(ISNUMBER(K86),ISNUMBER(L86)),ROUND(K86/L86,2),"")</f>
        <v>1.09</v>
      </c>
      <c r="N86" s="9" t="s">
        <v>304</v>
      </c>
      <c r="O86" s="11" t="s">
        <v>5</v>
      </c>
      <c r="P86" s="7"/>
      <c r="Q86" s="7"/>
      <c r="R86" s="6" t="s">
        <v>305</v>
      </c>
    </row>
    <row r="87" customFormat="false" ht="15" hidden="false" customHeight="false" outlineLevel="0" collapsed="false">
      <c r="A87" s="6" t="n">
        <v>86</v>
      </c>
      <c r="B87" s="6" t="s">
        <v>11</v>
      </c>
      <c r="C87" s="10" t="s">
        <v>58</v>
      </c>
      <c r="D87" s="6" t="s">
        <v>51</v>
      </c>
      <c r="E87" s="6" t="s">
        <v>306</v>
      </c>
      <c r="F87" s="7" t="s">
        <v>307</v>
      </c>
      <c r="G87" s="6" t="s">
        <v>54</v>
      </c>
      <c r="H87" s="6" t="n">
        <v>200</v>
      </c>
      <c r="I87" s="6" t="n">
        <v>200</v>
      </c>
      <c r="J87" s="6" t="n">
        <v>10.4</v>
      </c>
      <c r="K87" s="6" t="n">
        <v>427</v>
      </c>
      <c r="L87" s="6" t="n">
        <v>610</v>
      </c>
      <c r="M87" s="6" t="n">
        <f aca="false">IF(AND(ISNUMBER(K87),ISNUMBER(L87)),ROUND(K87/L87,2),"")</f>
        <v>0.7</v>
      </c>
      <c r="N87" s="9" t="s">
        <v>308</v>
      </c>
      <c r="O87" s="8" t="s">
        <v>6</v>
      </c>
      <c r="P87" s="9" t="s">
        <v>309</v>
      </c>
      <c r="Q87" s="7"/>
      <c r="R87" s="6" t="s">
        <v>310</v>
      </c>
    </row>
    <row r="88" customFormat="false" ht="15" hidden="false" customHeight="false" outlineLevel="0" collapsed="false">
      <c r="A88" s="6" t="n">
        <v>87</v>
      </c>
      <c r="B88" s="6" t="s">
        <v>11</v>
      </c>
      <c r="C88" s="10" t="s">
        <v>58</v>
      </c>
      <c r="D88" s="6" t="s">
        <v>51</v>
      </c>
      <c r="E88" s="6" t="s">
        <v>311</v>
      </c>
      <c r="F88" s="9" t="s">
        <v>123</v>
      </c>
      <c r="G88" s="6" t="s">
        <v>54</v>
      </c>
      <c r="H88" s="6" t="n">
        <v>200</v>
      </c>
      <c r="I88" s="6" t="n">
        <v>200</v>
      </c>
      <c r="J88" s="6" t="n">
        <v>185.2</v>
      </c>
      <c r="K88" s="6" t="n">
        <v>1672</v>
      </c>
      <c r="L88" s="6" t="n">
        <v>941</v>
      </c>
      <c r="M88" s="6" t="n">
        <f aca="false">IF(AND(ISNUMBER(K88),ISNUMBER(L88)),ROUND(K88/L88,2),"")</f>
        <v>1.78</v>
      </c>
      <c r="N88" s="9" t="s">
        <v>124</v>
      </c>
      <c r="O88" s="8" t="s">
        <v>6</v>
      </c>
      <c r="P88" s="9" t="s">
        <v>67</v>
      </c>
      <c r="Q88" s="7"/>
      <c r="R88" s="6" t="s">
        <v>125</v>
      </c>
    </row>
    <row r="89" customFormat="false" ht="15" hidden="false" customHeight="false" outlineLevel="0" collapsed="false">
      <c r="A89" s="6" t="n">
        <v>88</v>
      </c>
      <c r="B89" s="6" t="s">
        <v>11</v>
      </c>
      <c r="C89" s="10" t="s">
        <v>58</v>
      </c>
      <c r="D89" s="6" t="s">
        <v>51</v>
      </c>
      <c r="E89" s="6" t="s">
        <v>312</v>
      </c>
      <c r="F89" s="7" t="s">
        <v>167</v>
      </c>
      <c r="G89" s="6" t="s">
        <v>54</v>
      </c>
      <c r="H89" s="6" t="n">
        <v>200</v>
      </c>
      <c r="I89" s="6" t="n">
        <v>200</v>
      </c>
      <c r="J89" s="6" t="n">
        <v>150.2</v>
      </c>
      <c r="K89" s="6" t="n">
        <v>1915</v>
      </c>
      <c r="L89" s="6" t="n">
        <v>821</v>
      </c>
      <c r="M89" s="6" t="n">
        <f aca="false">IF(AND(ISNUMBER(K89),ISNUMBER(L89)),ROUND(K89/L89,2),"")</f>
        <v>2.33</v>
      </c>
      <c r="N89" s="9" t="s">
        <v>168</v>
      </c>
      <c r="O89" s="11" t="s">
        <v>5</v>
      </c>
      <c r="P89" s="7"/>
      <c r="Q89" s="7"/>
      <c r="R89" s="6" t="s">
        <v>169</v>
      </c>
    </row>
    <row r="90" customFormat="false" ht="15" hidden="false" customHeight="false" outlineLevel="0" collapsed="false">
      <c r="A90" s="6" t="n">
        <v>89</v>
      </c>
      <c r="B90" s="6" t="s">
        <v>11</v>
      </c>
      <c r="C90" s="6" t="s">
        <v>50</v>
      </c>
      <c r="D90" s="6" t="s">
        <v>51</v>
      </c>
      <c r="E90" s="6" t="s">
        <v>170</v>
      </c>
      <c r="F90" s="9" t="s">
        <v>171</v>
      </c>
      <c r="G90" s="6" t="s">
        <v>54</v>
      </c>
      <c r="H90" s="6" t="n">
        <v>200</v>
      </c>
      <c r="I90" s="6" t="n">
        <v>200</v>
      </c>
      <c r="J90" s="6" t="n">
        <v>51.5</v>
      </c>
      <c r="K90" s="6" t="n">
        <v>537</v>
      </c>
      <c r="L90" s="6" t="n">
        <v>403</v>
      </c>
      <c r="M90" s="6" t="n">
        <f aca="false">IF(AND(ISNUMBER(K90),ISNUMBER(L90)),ROUND(K90/L90,2),"")</f>
        <v>1.33</v>
      </c>
      <c r="N90" s="9" t="s">
        <v>172</v>
      </c>
      <c r="O90" s="11" t="s">
        <v>5</v>
      </c>
      <c r="P90" s="7"/>
      <c r="Q90" s="7"/>
      <c r="R90" s="6" t="s">
        <v>173</v>
      </c>
    </row>
    <row r="91" customFormat="false" ht="15" hidden="false" customHeight="false" outlineLevel="0" collapsed="false">
      <c r="A91" s="6" t="n">
        <v>90</v>
      </c>
      <c r="B91" s="6" t="s">
        <v>11</v>
      </c>
      <c r="C91" s="6" t="s">
        <v>50</v>
      </c>
      <c r="D91" s="6" t="s">
        <v>51</v>
      </c>
      <c r="E91" s="6" t="s">
        <v>174</v>
      </c>
      <c r="F91" s="7" t="s">
        <v>53</v>
      </c>
      <c r="G91" s="6" t="s">
        <v>54</v>
      </c>
      <c r="H91" s="6" t="n">
        <v>200</v>
      </c>
      <c r="I91" s="6" t="n">
        <v>200</v>
      </c>
      <c r="J91" s="6" t="n">
        <v>3.9</v>
      </c>
      <c r="K91" s="6" t="n">
        <v>442</v>
      </c>
      <c r="L91" s="6" t="n">
        <v>129</v>
      </c>
      <c r="M91" s="6" t="n">
        <f aca="false">IF(AND(ISNUMBER(K91),ISNUMBER(L91)),ROUND(K91/L91,2),"")</f>
        <v>3.43</v>
      </c>
      <c r="N91" s="7" t="s">
        <v>55</v>
      </c>
      <c r="O91" s="8" t="s">
        <v>6</v>
      </c>
      <c r="P91" s="9" t="s">
        <v>56</v>
      </c>
      <c r="Q91" s="7"/>
      <c r="R91" s="6" t="s">
        <v>57</v>
      </c>
    </row>
    <row r="92" customFormat="false" ht="15" hidden="false" customHeight="false" outlineLevel="0" collapsed="false">
      <c r="A92" s="6" t="n">
        <v>91</v>
      </c>
      <c r="B92" s="6" t="s">
        <v>11</v>
      </c>
      <c r="C92" s="6" t="s">
        <v>175</v>
      </c>
      <c r="D92" s="6" t="s">
        <v>176</v>
      </c>
      <c r="E92" s="6" t="s">
        <v>176</v>
      </c>
      <c r="F92" s="7" t="s">
        <v>313</v>
      </c>
      <c r="G92" s="6" t="s">
        <v>54</v>
      </c>
      <c r="H92" s="6" t="n">
        <v>200</v>
      </c>
      <c r="I92" s="6" t="s">
        <v>178</v>
      </c>
      <c r="J92" s="6" t="n">
        <v>779.2</v>
      </c>
      <c r="K92" s="6" t="n">
        <v>756</v>
      </c>
      <c r="L92" s="6" t="n">
        <v>1049</v>
      </c>
      <c r="M92" s="6" t="n">
        <f aca="false">IF(AND(ISNUMBER(K92),ISNUMBER(L92)),ROUND(K92/L92,2),"")</f>
        <v>0.72</v>
      </c>
      <c r="N92" s="7" t="s">
        <v>179</v>
      </c>
      <c r="O92" s="8" t="s">
        <v>6</v>
      </c>
      <c r="P92" s="9" t="s">
        <v>180</v>
      </c>
      <c r="Q92" s="7"/>
      <c r="R92" s="6" t="s">
        <v>314</v>
      </c>
    </row>
    <row r="93" customFormat="false" ht="15" hidden="false" customHeight="false" outlineLevel="0" collapsed="false">
      <c r="A93" s="6" t="n">
        <v>92</v>
      </c>
      <c r="B93" s="6" t="s">
        <v>11</v>
      </c>
      <c r="C93" s="10" t="s">
        <v>58</v>
      </c>
      <c r="D93" s="6" t="s">
        <v>315</v>
      </c>
      <c r="E93" s="6" t="s">
        <v>316</v>
      </c>
      <c r="F93" s="7" t="s">
        <v>317</v>
      </c>
      <c r="G93" s="6" t="s">
        <v>54</v>
      </c>
      <c r="H93" s="6" t="n">
        <v>200</v>
      </c>
      <c r="I93" s="6" t="s">
        <v>178</v>
      </c>
      <c r="J93" s="6" t="n">
        <v>3199.9</v>
      </c>
      <c r="K93" s="6" t="n">
        <v>1983</v>
      </c>
      <c r="L93" s="6" t="n">
        <v>793</v>
      </c>
      <c r="M93" s="6" t="n">
        <f aca="false">IF(AND(ISNUMBER(K93),ISNUMBER(L93)),ROUND(K93/L93,2),"")</f>
        <v>2.5</v>
      </c>
      <c r="N93" s="7" t="s">
        <v>318</v>
      </c>
      <c r="O93" s="8" t="s">
        <v>6</v>
      </c>
      <c r="P93" s="9" t="s">
        <v>180</v>
      </c>
      <c r="Q93" s="7"/>
      <c r="R93" s="6" t="s">
        <v>319</v>
      </c>
    </row>
    <row r="94" customFormat="false" ht="15" hidden="false" customHeight="false" outlineLevel="0" collapsed="false">
      <c r="A94" s="6" t="n">
        <v>93</v>
      </c>
      <c r="B94" s="6" t="s">
        <v>12</v>
      </c>
      <c r="C94" s="6" t="s">
        <v>50</v>
      </c>
      <c r="D94" s="6" t="s">
        <v>51</v>
      </c>
      <c r="E94" s="6" t="s">
        <v>52</v>
      </c>
      <c r="F94" s="7" t="s">
        <v>53</v>
      </c>
      <c r="G94" s="6" t="s">
        <v>54</v>
      </c>
      <c r="H94" s="6" t="n">
        <v>200</v>
      </c>
      <c r="I94" s="6" t="n">
        <v>200</v>
      </c>
      <c r="J94" s="6" t="n">
        <v>3.9</v>
      </c>
      <c r="K94" s="6" t="n">
        <v>442</v>
      </c>
      <c r="L94" s="6" t="n">
        <v>129</v>
      </c>
      <c r="M94" s="6" t="n">
        <f aca="false">IF(AND(ISNUMBER(K94),ISNUMBER(L94)),ROUND(K94/L94,2),"")</f>
        <v>3.43</v>
      </c>
      <c r="N94" s="7" t="s">
        <v>55</v>
      </c>
      <c r="O94" s="8" t="s">
        <v>6</v>
      </c>
      <c r="P94" s="9" t="s">
        <v>56</v>
      </c>
      <c r="Q94" s="7"/>
      <c r="R94" s="6" t="s">
        <v>57</v>
      </c>
    </row>
    <row r="95" customFormat="false" ht="23.85" hidden="false" customHeight="false" outlineLevel="0" collapsed="false">
      <c r="A95" s="6" t="n">
        <v>94</v>
      </c>
      <c r="B95" s="6" t="s">
        <v>12</v>
      </c>
      <c r="C95" s="10" t="s">
        <v>58</v>
      </c>
      <c r="D95" s="6" t="s">
        <v>51</v>
      </c>
      <c r="E95" s="6" t="s">
        <v>182</v>
      </c>
      <c r="F95" s="7" t="s">
        <v>183</v>
      </c>
      <c r="G95" s="6" t="s">
        <v>54</v>
      </c>
      <c r="H95" s="6" t="n">
        <v>200</v>
      </c>
      <c r="I95" s="6" t="n">
        <v>200</v>
      </c>
      <c r="J95" s="6" t="n">
        <v>234.2</v>
      </c>
      <c r="K95" s="6" t="n">
        <v>1920</v>
      </c>
      <c r="L95" s="6" t="n">
        <v>768</v>
      </c>
      <c r="M95" s="6" t="n">
        <f aca="false">IF(AND(ISNUMBER(K95),ISNUMBER(L95)),ROUND(K95/L95,2),"")</f>
        <v>2.5</v>
      </c>
      <c r="N95" s="7" t="s">
        <v>184</v>
      </c>
      <c r="O95" s="11" t="s">
        <v>5</v>
      </c>
      <c r="P95" s="7"/>
      <c r="Q95" s="7"/>
      <c r="R95" s="6" t="s">
        <v>185</v>
      </c>
    </row>
    <row r="96" customFormat="false" ht="15" hidden="false" customHeight="false" outlineLevel="0" collapsed="false">
      <c r="A96" s="6" t="n">
        <v>95</v>
      </c>
      <c r="B96" s="6" t="s">
        <v>12</v>
      </c>
      <c r="C96" s="10" t="s">
        <v>58</v>
      </c>
      <c r="D96" s="6" t="s">
        <v>51</v>
      </c>
      <c r="E96" s="6" t="s">
        <v>64</v>
      </c>
      <c r="F96" s="7" t="s">
        <v>243</v>
      </c>
      <c r="G96" s="6" t="s">
        <v>54</v>
      </c>
      <c r="H96" s="6" t="n">
        <v>200</v>
      </c>
      <c r="I96" s="6" t="n">
        <v>200</v>
      </c>
      <c r="J96" s="6" t="n">
        <v>23.3</v>
      </c>
      <c r="K96" s="6" t="n">
        <v>756</v>
      </c>
      <c r="L96" s="6" t="n">
        <v>1049</v>
      </c>
      <c r="M96" s="6" t="n">
        <f aca="false">IF(AND(ISNUMBER(K96),ISNUMBER(L96)),ROUND(K96/L96,2),"")</f>
        <v>0.72</v>
      </c>
      <c r="N96" s="7" t="s">
        <v>320</v>
      </c>
      <c r="O96" s="8" t="s">
        <v>6</v>
      </c>
      <c r="P96" s="9" t="s">
        <v>245</v>
      </c>
      <c r="Q96" s="7"/>
      <c r="R96" s="6" t="s">
        <v>246</v>
      </c>
    </row>
    <row r="97" customFormat="false" ht="15" hidden="false" customHeight="false" outlineLevel="0" collapsed="false">
      <c r="A97" s="6" t="n">
        <v>96</v>
      </c>
      <c r="B97" s="6" t="s">
        <v>12</v>
      </c>
      <c r="C97" s="10" t="s">
        <v>58</v>
      </c>
      <c r="D97" s="6" t="s">
        <v>51</v>
      </c>
      <c r="E97" s="6" t="s">
        <v>64</v>
      </c>
      <c r="F97" s="7" t="s">
        <v>96</v>
      </c>
      <c r="G97" s="6" t="s">
        <v>54</v>
      </c>
      <c r="H97" s="6" t="n">
        <v>200</v>
      </c>
      <c r="I97" s="6" t="n">
        <v>200</v>
      </c>
      <c r="J97" s="6" t="n">
        <v>15.2</v>
      </c>
      <c r="K97" s="6" t="n">
        <v>520</v>
      </c>
      <c r="L97" s="6" t="n">
        <v>728</v>
      </c>
      <c r="M97" s="6" t="n">
        <f aca="false">IF(AND(ISNUMBER(K97),ISNUMBER(L97)),ROUND(K97/L97,2),"")</f>
        <v>0.71</v>
      </c>
      <c r="N97" s="7" t="s">
        <v>321</v>
      </c>
      <c r="O97" s="8" t="s">
        <v>6</v>
      </c>
      <c r="P97" s="9" t="s">
        <v>98</v>
      </c>
      <c r="Q97" s="7"/>
      <c r="R97" s="6" t="s">
        <v>99</v>
      </c>
    </row>
    <row r="98" customFormat="false" ht="15" hidden="false" customHeight="false" outlineLevel="0" collapsed="false">
      <c r="A98" s="6" t="n">
        <v>97</v>
      </c>
      <c r="B98" s="6" t="s">
        <v>12</v>
      </c>
      <c r="C98" s="10" t="s">
        <v>58</v>
      </c>
      <c r="D98" s="6" t="s">
        <v>51</v>
      </c>
      <c r="E98" s="6" t="s">
        <v>64</v>
      </c>
      <c r="F98" s="7" t="s">
        <v>322</v>
      </c>
      <c r="G98" s="6" t="s">
        <v>54</v>
      </c>
      <c r="H98" s="6" t="n">
        <v>200</v>
      </c>
      <c r="I98" s="6" t="n">
        <v>200</v>
      </c>
      <c r="J98" s="6" t="n">
        <v>338.4</v>
      </c>
      <c r="K98" s="6" t="n">
        <v>1630</v>
      </c>
      <c r="L98" s="6" t="n">
        <v>1920</v>
      </c>
      <c r="M98" s="6" t="n">
        <f aca="false">IF(AND(ISNUMBER(K98),ISNUMBER(L98)),ROUND(K98/L98,2),"")</f>
        <v>0.85</v>
      </c>
      <c r="N98" s="7" t="s">
        <v>323</v>
      </c>
      <c r="O98" s="8" t="s">
        <v>6</v>
      </c>
      <c r="P98" s="9" t="s">
        <v>324</v>
      </c>
      <c r="Q98" s="7"/>
      <c r="R98" s="6" t="s">
        <v>325</v>
      </c>
    </row>
    <row r="99" customFormat="false" ht="58.2" hidden="false" customHeight="false" outlineLevel="0" collapsed="false">
      <c r="A99" s="6" t="n">
        <v>98</v>
      </c>
      <c r="B99" s="6" t="s">
        <v>12</v>
      </c>
      <c r="C99" s="10" t="s">
        <v>58</v>
      </c>
      <c r="D99" s="6" t="s">
        <v>51</v>
      </c>
      <c r="E99" s="6" t="s">
        <v>326</v>
      </c>
      <c r="F99" s="9" t="s">
        <v>107</v>
      </c>
      <c r="G99" s="6" t="s">
        <v>54</v>
      </c>
      <c r="H99" s="6" t="n">
        <v>200</v>
      </c>
      <c r="I99" s="6" t="n">
        <v>200</v>
      </c>
      <c r="J99" s="6" t="n">
        <v>169.1</v>
      </c>
      <c r="K99" s="6" t="n">
        <v>1672</v>
      </c>
      <c r="L99" s="6" t="n">
        <v>941</v>
      </c>
      <c r="M99" s="6" t="n">
        <f aca="false">IF(AND(ISNUMBER(K99),ISNUMBER(L99)),ROUND(K99/L99,2),"")</f>
        <v>1.78</v>
      </c>
      <c r="N99" s="9" t="s">
        <v>327</v>
      </c>
      <c r="O99" s="8" t="s">
        <v>6</v>
      </c>
      <c r="P99" s="9" t="s">
        <v>67</v>
      </c>
      <c r="Q99" s="7"/>
      <c r="R99" s="6" t="s">
        <v>109</v>
      </c>
    </row>
    <row r="100" customFormat="false" ht="58.2" hidden="false" customHeight="false" outlineLevel="0" collapsed="false">
      <c r="A100" s="6" t="n">
        <v>99</v>
      </c>
      <c r="B100" s="6" t="s">
        <v>12</v>
      </c>
      <c r="C100" s="10" t="s">
        <v>58</v>
      </c>
      <c r="D100" s="6" t="s">
        <v>51</v>
      </c>
      <c r="E100" s="6" t="s">
        <v>326</v>
      </c>
      <c r="F100" s="7" t="s">
        <v>297</v>
      </c>
      <c r="G100" s="6" t="s">
        <v>54</v>
      </c>
      <c r="H100" s="6" t="n">
        <v>200</v>
      </c>
      <c r="I100" s="6" t="n">
        <v>200</v>
      </c>
      <c r="J100" s="6" t="n">
        <v>47.5</v>
      </c>
      <c r="K100" s="6" t="n">
        <v>1233</v>
      </c>
      <c r="L100" s="6" t="n">
        <v>673</v>
      </c>
      <c r="M100" s="6" t="n">
        <f aca="false">IF(AND(ISNUMBER(K100),ISNUMBER(L100)),ROUND(K100/L100,2),"")</f>
        <v>1.83</v>
      </c>
      <c r="N100" s="9" t="s">
        <v>328</v>
      </c>
      <c r="O100" s="11" t="s">
        <v>5</v>
      </c>
      <c r="P100" s="7"/>
      <c r="Q100" s="7"/>
      <c r="R100" s="6" t="s">
        <v>299</v>
      </c>
    </row>
    <row r="101" customFormat="false" ht="15" hidden="false" customHeight="false" outlineLevel="0" collapsed="false">
      <c r="A101" s="6" t="n">
        <v>100</v>
      </c>
      <c r="B101" s="6" t="s">
        <v>12</v>
      </c>
      <c r="C101" s="6" t="s">
        <v>50</v>
      </c>
      <c r="D101" s="6" t="s">
        <v>51</v>
      </c>
      <c r="E101" s="6" t="s">
        <v>170</v>
      </c>
      <c r="F101" s="9" t="s">
        <v>171</v>
      </c>
      <c r="G101" s="6" t="s">
        <v>54</v>
      </c>
      <c r="H101" s="6" t="n">
        <v>200</v>
      </c>
      <c r="I101" s="6" t="n">
        <v>200</v>
      </c>
      <c r="J101" s="6" t="n">
        <v>51.5</v>
      </c>
      <c r="K101" s="6" t="n">
        <v>537</v>
      </c>
      <c r="L101" s="6" t="n">
        <v>403</v>
      </c>
      <c r="M101" s="6" t="n">
        <f aca="false">IF(AND(ISNUMBER(K101),ISNUMBER(L101)),ROUND(K101/L101,2),"")</f>
        <v>1.33</v>
      </c>
      <c r="N101" s="9" t="s">
        <v>172</v>
      </c>
      <c r="O101" s="11" t="s">
        <v>5</v>
      </c>
      <c r="P101" s="7"/>
      <c r="Q101" s="7"/>
      <c r="R101" s="6" t="s">
        <v>173</v>
      </c>
    </row>
    <row r="102" customFormat="false" ht="15" hidden="false" customHeight="false" outlineLevel="0" collapsed="false">
      <c r="A102" s="6" t="n">
        <v>101</v>
      </c>
      <c r="B102" s="6" t="s">
        <v>12</v>
      </c>
      <c r="C102" s="6" t="s">
        <v>50</v>
      </c>
      <c r="D102" s="6" t="s">
        <v>51</v>
      </c>
      <c r="E102" s="6" t="s">
        <v>174</v>
      </c>
      <c r="F102" s="7" t="s">
        <v>53</v>
      </c>
      <c r="G102" s="6" t="s">
        <v>54</v>
      </c>
      <c r="H102" s="6" t="n">
        <v>200</v>
      </c>
      <c r="I102" s="6" t="n">
        <v>200</v>
      </c>
      <c r="J102" s="6" t="n">
        <v>3.9</v>
      </c>
      <c r="K102" s="6" t="n">
        <v>442</v>
      </c>
      <c r="L102" s="6" t="n">
        <v>129</v>
      </c>
      <c r="M102" s="6" t="n">
        <f aca="false">IF(AND(ISNUMBER(K102),ISNUMBER(L102)),ROUND(K102/L102,2),"")</f>
        <v>3.43</v>
      </c>
      <c r="N102" s="7" t="s">
        <v>55</v>
      </c>
      <c r="O102" s="8" t="s">
        <v>6</v>
      </c>
      <c r="P102" s="9" t="s">
        <v>56</v>
      </c>
      <c r="Q102" s="7"/>
      <c r="R102" s="6" t="s">
        <v>57</v>
      </c>
    </row>
    <row r="103" customFormat="false" ht="15" hidden="false" customHeight="false" outlineLevel="0" collapsed="false">
      <c r="A103" s="6" t="n">
        <v>102</v>
      </c>
      <c r="B103" s="6" t="s">
        <v>12</v>
      </c>
      <c r="C103" s="6" t="s">
        <v>175</v>
      </c>
      <c r="D103" s="6" t="s">
        <v>176</v>
      </c>
      <c r="E103" s="6" t="s">
        <v>176</v>
      </c>
      <c r="F103" s="7" t="s">
        <v>313</v>
      </c>
      <c r="G103" s="6" t="s">
        <v>54</v>
      </c>
      <c r="H103" s="6" t="n">
        <v>200</v>
      </c>
      <c r="I103" s="6" t="s">
        <v>178</v>
      </c>
      <c r="J103" s="6" t="n">
        <v>779.2</v>
      </c>
      <c r="K103" s="6" t="n">
        <v>756</v>
      </c>
      <c r="L103" s="6" t="n">
        <v>1049</v>
      </c>
      <c r="M103" s="6" t="n">
        <f aca="false">IF(AND(ISNUMBER(K103),ISNUMBER(L103)),ROUND(K103/L103,2),"")</f>
        <v>0.72</v>
      </c>
      <c r="N103" s="7" t="s">
        <v>179</v>
      </c>
      <c r="O103" s="8" t="s">
        <v>6</v>
      </c>
      <c r="P103" s="9" t="s">
        <v>180</v>
      </c>
      <c r="Q103" s="7"/>
      <c r="R103" s="6" t="s">
        <v>314</v>
      </c>
    </row>
    <row r="104" customFormat="false" ht="15" hidden="false" customHeight="false" outlineLevel="0" collapsed="false">
      <c r="A104" s="6" t="n">
        <v>103</v>
      </c>
      <c r="B104" s="6" t="s">
        <v>13</v>
      </c>
      <c r="C104" s="6" t="s">
        <v>50</v>
      </c>
      <c r="D104" s="6" t="s">
        <v>51</v>
      </c>
      <c r="E104" s="6" t="s">
        <v>52</v>
      </c>
      <c r="F104" s="7" t="s">
        <v>53</v>
      </c>
      <c r="G104" s="6" t="s">
        <v>54</v>
      </c>
      <c r="H104" s="6" t="n">
        <v>200</v>
      </c>
      <c r="I104" s="6" t="n">
        <v>200</v>
      </c>
      <c r="J104" s="6" t="n">
        <v>3.9</v>
      </c>
      <c r="K104" s="6" t="n">
        <v>442</v>
      </c>
      <c r="L104" s="6" t="n">
        <v>129</v>
      </c>
      <c r="M104" s="6" t="n">
        <f aca="false">IF(AND(ISNUMBER(K104),ISNUMBER(L104)),ROUND(K104/L104,2),"")</f>
        <v>3.43</v>
      </c>
      <c r="N104" s="7" t="s">
        <v>55</v>
      </c>
      <c r="O104" s="8" t="s">
        <v>6</v>
      </c>
      <c r="P104" s="9" t="s">
        <v>56</v>
      </c>
      <c r="Q104" s="7"/>
      <c r="R104" s="6" t="s">
        <v>57</v>
      </c>
    </row>
    <row r="105" customFormat="false" ht="15" hidden="false" customHeight="false" outlineLevel="0" collapsed="false">
      <c r="A105" s="6" t="n">
        <v>104</v>
      </c>
      <c r="B105" s="6" t="s">
        <v>13</v>
      </c>
      <c r="C105" s="10" t="s">
        <v>58</v>
      </c>
      <c r="D105" s="6" t="s">
        <v>51</v>
      </c>
      <c r="E105" s="6" t="s">
        <v>59</v>
      </c>
      <c r="F105" s="7" t="s">
        <v>329</v>
      </c>
      <c r="G105" s="6" t="s">
        <v>54</v>
      </c>
      <c r="H105" s="6" t="n">
        <v>200</v>
      </c>
      <c r="I105" s="6" t="n">
        <v>200</v>
      </c>
      <c r="J105" s="6" t="n">
        <v>166.2</v>
      </c>
      <c r="K105" s="6" t="n">
        <v>1920</v>
      </c>
      <c r="L105" s="6" t="n">
        <v>635</v>
      </c>
      <c r="M105" s="6" t="n">
        <f aca="false">IF(AND(ISNUMBER(K105),ISNUMBER(L105)),ROUND(K105/L105,2),"")</f>
        <v>3.02</v>
      </c>
      <c r="N105" s="7" t="s">
        <v>330</v>
      </c>
      <c r="O105" s="8" t="s">
        <v>6</v>
      </c>
      <c r="P105" s="9" t="s">
        <v>331</v>
      </c>
      <c r="Q105" s="7"/>
      <c r="R105" s="6" t="s">
        <v>332</v>
      </c>
    </row>
    <row r="106" customFormat="false" ht="26.85" hidden="false" customHeight="false" outlineLevel="0" collapsed="false">
      <c r="A106" s="6" t="n">
        <v>105</v>
      </c>
      <c r="B106" s="6" t="s">
        <v>13</v>
      </c>
      <c r="C106" s="10" t="s">
        <v>58</v>
      </c>
      <c r="D106" s="6" t="s">
        <v>51</v>
      </c>
      <c r="E106" s="6" t="s">
        <v>333</v>
      </c>
      <c r="F106" s="7" t="s">
        <v>243</v>
      </c>
      <c r="G106" s="6" t="s">
        <v>54</v>
      </c>
      <c r="H106" s="6" t="n">
        <v>200</v>
      </c>
      <c r="I106" s="6" t="n">
        <v>200</v>
      </c>
      <c r="J106" s="6" t="n">
        <v>23.3</v>
      </c>
      <c r="K106" s="6" t="n">
        <v>756</v>
      </c>
      <c r="L106" s="6" t="n">
        <v>1049</v>
      </c>
      <c r="M106" s="6" t="n">
        <f aca="false">IF(AND(ISNUMBER(K106),ISNUMBER(L106)),ROUND(K106/L106,2),"")</f>
        <v>0.72</v>
      </c>
      <c r="N106" s="7" t="s">
        <v>334</v>
      </c>
      <c r="O106" s="8" t="s">
        <v>6</v>
      </c>
      <c r="P106" s="9" t="s">
        <v>335</v>
      </c>
      <c r="Q106" s="7"/>
      <c r="R106" s="6" t="s">
        <v>246</v>
      </c>
    </row>
    <row r="107" customFormat="false" ht="15" hidden="false" customHeight="false" outlineLevel="0" collapsed="false">
      <c r="A107" s="6" t="n">
        <v>106</v>
      </c>
      <c r="B107" s="6" t="s">
        <v>13</v>
      </c>
      <c r="C107" s="10" t="s">
        <v>58</v>
      </c>
      <c r="D107" s="6" t="s">
        <v>51</v>
      </c>
      <c r="E107" s="6" t="s">
        <v>336</v>
      </c>
      <c r="F107" s="7" t="s">
        <v>337</v>
      </c>
      <c r="G107" s="6" t="s">
        <v>54</v>
      </c>
      <c r="H107" s="6" t="n">
        <v>200</v>
      </c>
      <c r="I107" s="6" t="n">
        <v>200</v>
      </c>
      <c r="J107" s="6" t="n">
        <v>160</v>
      </c>
      <c r="K107" s="6" t="n">
        <v>1672</v>
      </c>
      <c r="L107" s="6" t="n">
        <v>941</v>
      </c>
      <c r="M107" s="6" t="n">
        <f aca="false">IF(AND(ISNUMBER(K107),ISNUMBER(L107)),ROUND(K107/L107,2),"")</f>
        <v>1.78</v>
      </c>
      <c r="N107" s="9" t="s">
        <v>338</v>
      </c>
      <c r="O107" s="11" t="s">
        <v>5</v>
      </c>
      <c r="P107" s="7"/>
      <c r="Q107" s="7"/>
      <c r="R107" s="6" t="s">
        <v>339</v>
      </c>
    </row>
    <row r="108" customFormat="false" ht="15" hidden="false" customHeight="false" outlineLevel="0" collapsed="false">
      <c r="A108" s="6" t="n">
        <v>107</v>
      </c>
      <c r="B108" s="6" t="s">
        <v>13</v>
      </c>
      <c r="C108" s="10" t="s">
        <v>58</v>
      </c>
      <c r="D108" s="6" t="s">
        <v>51</v>
      </c>
      <c r="E108" s="6" t="s">
        <v>340</v>
      </c>
      <c r="F108" s="7" t="s">
        <v>250</v>
      </c>
      <c r="G108" s="6" t="s">
        <v>54</v>
      </c>
      <c r="H108" s="6" t="n">
        <v>200</v>
      </c>
      <c r="I108" s="6" t="n">
        <v>200</v>
      </c>
      <c r="J108" s="6" t="n">
        <v>93.2</v>
      </c>
      <c r="K108" s="6" t="n">
        <v>1376</v>
      </c>
      <c r="L108" s="6" t="n">
        <v>768</v>
      </c>
      <c r="M108" s="6" t="n">
        <f aca="false">IF(AND(ISNUMBER(K108),ISNUMBER(L108)),ROUND(K108/L108,2),"")</f>
        <v>1.79</v>
      </c>
      <c r="N108" s="9" t="s">
        <v>341</v>
      </c>
      <c r="O108" s="11" t="s">
        <v>5</v>
      </c>
      <c r="P108" s="7"/>
      <c r="Q108" s="7"/>
      <c r="R108" s="6" t="s">
        <v>252</v>
      </c>
    </row>
    <row r="109" customFormat="false" ht="15" hidden="false" customHeight="false" outlineLevel="0" collapsed="false">
      <c r="A109" s="6" t="n">
        <v>108</v>
      </c>
      <c r="B109" s="6" t="s">
        <v>13</v>
      </c>
      <c r="C109" s="10" t="s">
        <v>58</v>
      </c>
      <c r="D109" s="6" t="s">
        <v>51</v>
      </c>
      <c r="E109" s="6" t="s">
        <v>342</v>
      </c>
      <c r="F109" s="7" t="s">
        <v>322</v>
      </c>
      <c r="G109" s="6" t="s">
        <v>54</v>
      </c>
      <c r="H109" s="6" t="n">
        <v>200</v>
      </c>
      <c r="I109" s="6" t="n">
        <v>200</v>
      </c>
      <c r="J109" s="6" t="n">
        <v>338.4</v>
      </c>
      <c r="K109" s="6" t="n">
        <v>1630</v>
      </c>
      <c r="L109" s="6" t="n">
        <v>1920</v>
      </c>
      <c r="M109" s="6" t="n">
        <f aca="false">IF(AND(ISNUMBER(K109),ISNUMBER(L109)),ROUND(K109/L109,2),"")</f>
        <v>0.85</v>
      </c>
      <c r="N109" s="9" t="s">
        <v>343</v>
      </c>
      <c r="O109" s="8" t="s">
        <v>6</v>
      </c>
      <c r="P109" s="9" t="s">
        <v>344</v>
      </c>
      <c r="Q109" s="7"/>
      <c r="R109" s="6" t="s">
        <v>325</v>
      </c>
    </row>
    <row r="110" customFormat="false" ht="15" hidden="false" customHeight="false" outlineLevel="0" collapsed="false">
      <c r="A110" s="6" t="n">
        <v>109</v>
      </c>
      <c r="B110" s="6" t="s">
        <v>13</v>
      </c>
      <c r="C110" s="10" t="s">
        <v>58</v>
      </c>
      <c r="D110" s="6" t="s">
        <v>51</v>
      </c>
      <c r="E110" s="6" t="s">
        <v>345</v>
      </c>
      <c r="F110" s="7" t="s">
        <v>96</v>
      </c>
      <c r="G110" s="6" t="s">
        <v>54</v>
      </c>
      <c r="H110" s="6" t="n">
        <v>200</v>
      </c>
      <c r="I110" s="6" t="n">
        <v>200</v>
      </c>
      <c r="J110" s="6" t="n">
        <v>15.2</v>
      </c>
      <c r="K110" s="6" t="n">
        <v>520</v>
      </c>
      <c r="L110" s="6" t="n">
        <v>728</v>
      </c>
      <c r="M110" s="6" t="n">
        <f aca="false">IF(AND(ISNUMBER(K110),ISNUMBER(L110)),ROUND(K110/L110,2),"")</f>
        <v>0.71</v>
      </c>
      <c r="N110" s="9" t="s">
        <v>346</v>
      </c>
      <c r="O110" s="8" t="s">
        <v>6</v>
      </c>
      <c r="P110" s="9" t="s">
        <v>98</v>
      </c>
      <c r="Q110" s="7"/>
      <c r="R110" s="6" t="s">
        <v>99</v>
      </c>
    </row>
    <row r="111" customFormat="false" ht="15" hidden="false" customHeight="false" outlineLevel="0" collapsed="false">
      <c r="A111" s="6" t="n">
        <v>110</v>
      </c>
      <c r="B111" s="6" t="s">
        <v>13</v>
      </c>
      <c r="C111" s="10" t="s">
        <v>58</v>
      </c>
      <c r="D111" s="6" t="s">
        <v>51</v>
      </c>
      <c r="E111" s="6" t="s">
        <v>347</v>
      </c>
      <c r="F111" s="7" t="s">
        <v>348</v>
      </c>
      <c r="G111" s="6" t="s">
        <v>54</v>
      </c>
      <c r="H111" s="6" t="n">
        <v>200</v>
      </c>
      <c r="I111" s="6" t="n">
        <v>200</v>
      </c>
      <c r="J111" s="6" t="n">
        <v>145.4</v>
      </c>
      <c r="K111" s="6" t="n">
        <v>1916</v>
      </c>
      <c r="L111" s="6" t="n">
        <v>821</v>
      </c>
      <c r="M111" s="6" t="n">
        <f aca="false">IF(AND(ISNUMBER(K111),ISNUMBER(L111)),ROUND(K111/L111,2),"")</f>
        <v>2.33</v>
      </c>
      <c r="N111" s="9" t="s">
        <v>349</v>
      </c>
      <c r="O111" s="8" t="s">
        <v>6</v>
      </c>
      <c r="P111" s="9" t="s">
        <v>350</v>
      </c>
      <c r="Q111" s="7"/>
      <c r="R111" s="6" t="s">
        <v>351</v>
      </c>
    </row>
    <row r="112" customFormat="false" ht="29.85" hidden="false" customHeight="false" outlineLevel="0" collapsed="false">
      <c r="A112" s="6" t="n">
        <v>111</v>
      </c>
      <c r="B112" s="6" t="s">
        <v>13</v>
      </c>
      <c r="C112" s="10" t="s">
        <v>58</v>
      </c>
      <c r="D112" s="6" t="s">
        <v>51</v>
      </c>
      <c r="E112" s="6" t="s">
        <v>352</v>
      </c>
      <c r="F112" s="7" t="s">
        <v>353</v>
      </c>
      <c r="G112" s="6" t="s">
        <v>54</v>
      </c>
      <c r="H112" s="6" t="n">
        <v>200</v>
      </c>
      <c r="I112" s="6" t="n">
        <v>200</v>
      </c>
      <c r="J112" s="6" t="n">
        <v>23.3</v>
      </c>
      <c r="K112" s="6" t="n">
        <v>756</v>
      </c>
      <c r="L112" s="6" t="n">
        <v>1049</v>
      </c>
      <c r="M112" s="6" t="n">
        <f aca="false">IF(AND(ISNUMBER(K112),ISNUMBER(L112)),ROUND(K112/L112,2),"")</f>
        <v>0.72</v>
      </c>
      <c r="N112" s="9" t="s">
        <v>354</v>
      </c>
      <c r="O112" s="8" t="s">
        <v>6</v>
      </c>
      <c r="P112" s="9" t="s">
        <v>355</v>
      </c>
      <c r="Q112" s="7"/>
      <c r="R112" s="6" t="s">
        <v>356</v>
      </c>
    </row>
    <row r="113" customFormat="false" ht="15" hidden="false" customHeight="false" outlineLevel="0" collapsed="false">
      <c r="A113" s="6" t="n">
        <v>112</v>
      </c>
      <c r="B113" s="6" t="s">
        <v>13</v>
      </c>
      <c r="C113" s="10" t="s">
        <v>58</v>
      </c>
      <c r="D113" s="6" t="s">
        <v>51</v>
      </c>
      <c r="E113" s="6" t="s">
        <v>357</v>
      </c>
      <c r="F113" s="9" t="s">
        <v>358</v>
      </c>
      <c r="G113" s="6" t="s">
        <v>54</v>
      </c>
      <c r="H113" s="6" t="n">
        <v>200</v>
      </c>
      <c r="I113" s="6" t="n">
        <v>200</v>
      </c>
      <c r="J113" s="6" t="n">
        <v>100.6</v>
      </c>
      <c r="K113" s="6" t="n">
        <v>1365</v>
      </c>
      <c r="L113" s="6" t="n">
        <v>768</v>
      </c>
      <c r="M113" s="6" t="n">
        <f aca="false">IF(AND(ISNUMBER(K113),ISNUMBER(L113)),ROUND(K113/L113,2),"")</f>
        <v>1.78</v>
      </c>
      <c r="N113" s="9" t="s">
        <v>359</v>
      </c>
      <c r="O113" s="8" t="s">
        <v>6</v>
      </c>
      <c r="P113" s="9" t="s">
        <v>67</v>
      </c>
      <c r="Q113" s="7"/>
      <c r="R113" s="6" t="s">
        <v>360</v>
      </c>
    </row>
    <row r="114" customFormat="false" ht="15" hidden="false" customHeight="false" outlineLevel="0" collapsed="false">
      <c r="A114" s="6" t="n">
        <v>113</v>
      </c>
      <c r="B114" s="6" t="s">
        <v>13</v>
      </c>
      <c r="C114" s="10" t="s">
        <v>58</v>
      </c>
      <c r="D114" s="6" t="s">
        <v>51</v>
      </c>
      <c r="E114" s="6" t="s">
        <v>361</v>
      </c>
      <c r="F114" s="7" t="s">
        <v>362</v>
      </c>
      <c r="G114" s="6" t="s">
        <v>54</v>
      </c>
      <c r="H114" s="6" t="n">
        <v>200</v>
      </c>
      <c r="I114" s="6" t="n">
        <v>200</v>
      </c>
      <c r="J114" s="6" t="n">
        <v>62.4</v>
      </c>
      <c r="K114" s="6" t="n">
        <v>1027</v>
      </c>
      <c r="L114" s="6" t="n">
        <v>535</v>
      </c>
      <c r="M114" s="6" t="n">
        <f aca="false">IF(AND(ISNUMBER(K114),ISNUMBER(L114)),ROUND(K114/L114,2),"")</f>
        <v>1.92</v>
      </c>
      <c r="N114" s="9" t="s">
        <v>363</v>
      </c>
      <c r="O114" s="8" t="s">
        <v>6</v>
      </c>
      <c r="P114" s="9" t="s">
        <v>67</v>
      </c>
      <c r="Q114" s="7"/>
      <c r="R114" s="6" t="s">
        <v>364</v>
      </c>
    </row>
    <row r="115" customFormat="false" ht="15" hidden="false" customHeight="false" outlineLevel="0" collapsed="false">
      <c r="A115" s="6" t="n">
        <v>114</v>
      </c>
      <c r="B115" s="6" t="s">
        <v>13</v>
      </c>
      <c r="C115" s="10" t="s">
        <v>58</v>
      </c>
      <c r="D115" s="6" t="s">
        <v>51</v>
      </c>
      <c r="E115" s="6" t="s">
        <v>365</v>
      </c>
      <c r="F115" s="7" t="s">
        <v>366</v>
      </c>
      <c r="G115" s="6" t="s">
        <v>54</v>
      </c>
      <c r="H115" s="6" t="n">
        <v>200</v>
      </c>
      <c r="I115" s="6" t="n">
        <v>200</v>
      </c>
      <c r="J115" s="6" t="n">
        <v>8.4</v>
      </c>
      <c r="K115" s="6" t="n">
        <v>371</v>
      </c>
      <c r="L115" s="6" t="n">
        <v>204</v>
      </c>
      <c r="M115" s="6" t="n">
        <f aca="false">IF(AND(ISNUMBER(K115),ISNUMBER(L115)),ROUND(K115/L115,2),"")</f>
        <v>1.82</v>
      </c>
      <c r="N115" s="9" t="s">
        <v>367</v>
      </c>
      <c r="O115" s="8" t="s">
        <v>6</v>
      </c>
      <c r="P115" s="9" t="s">
        <v>67</v>
      </c>
      <c r="Q115" s="7"/>
      <c r="R115" s="6" t="s">
        <v>368</v>
      </c>
    </row>
    <row r="116" customFormat="false" ht="15" hidden="false" customHeight="false" outlineLevel="0" collapsed="false">
      <c r="A116" s="6" t="n">
        <v>115</v>
      </c>
      <c r="B116" s="6" t="s">
        <v>13</v>
      </c>
      <c r="C116" s="10" t="s">
        <v>58</v>
      </c>
      <c r="D116" s="6" t="s">
        <v>51</v>
      </c>
      <c r="E116" s="6" t="s">
        <v>369</v>
      </c>
      <c r="F116" s="9" t="s">
        <v>370</v>
      </c>
      <c r="G116" s="6" t="s">
        <v>54</v>
      </c>
      <c r="H116" s="6" t="n">
        <v>200</v>
      </c>
      <c r="I116" s="6" t="n">
        <v>200</v>
      </c>
      <c r="J116" s="6" t="n">
        <v>59.5</v>
      </c>
      <c r="K116" s="6" t="n">
        <v>1040</v>
      </c>
      <c r="L116" s="6" t="n">
        <v>632</v>
      </c>
      <c r="M116" s="6" t="n">
        <f aca="false">IF(AND(ISNUMBER(K116),ISNUMBER(L116)),ROUND(K116/L116,2),"")</f>
        <v>1.65</v>
      </c>
      <c r="N116" s="9" t="s">
        <v>371</v>
      </c>
      <c r="O116" s="8" t="s">
        <v>6</v>
      </c>
      <c r="P116" s="9" t="s">
        <v>67</v>
      </c>
      <c r="Q116" s="7"/>
      <c r="R116" s="6" t="s">
        <v>372</v>
      </c>
    </row>
    <row r="117" customFormat="false" ht="15" hidden="false" customHeight="false" outlineLevel="0" collapsed="false">
      <c r="A117" s="6" t="n">
        <v>116</v>
      </c>
      <c r="B117" s="6" t="s">
        <v>13</v>
      </c>
      <c r="C117" s="10" t="s">
        <v>58</v>
      </c>
      <c r="D117" s="6" t="s">
        <v>51</v>
      </c>
      <c r="E117" s="6" t="s">
        <v>373</v>
      </c>
      <c r="F117" s="7" t="s">
        <v>374</v>
      </c>
      <c r="G117" s="6" t="s">
        <v>54</v>
      </c>
      <c r="H117" s="6" t="n">
        <v>200</v>
      </c>
      <c r="I117" s="6" t="n">
        <v>200</v>
      </c>
      <c r="J117" s="6" t="n">
        <v>34</v>
      </c>
      <c r="K117" s="6" t="n">
        <v>701</v>
      </c>
      <c r="L117" s="6" t="n">
        <v>562</v>
      </c>
      <c r="M117" s="6" t="n">
        <f aca="false">IF(AND(ISNUMBER(K117),ISNUMBER(L117)),ROUND(K117/L117,2),"")</f>
        <v>1.25</v>
      </c>
      <c r="N117" s="9" t="s">
        <v>375</v>
      </c>
      <c r="O117" s="8" t="s">
        <v>6</v>
      </c>
      <c r="P117" s="9" t="s">
        <v>67</v>
      </c>
      <c r="Q117" s="7"/>
      <c r="R117" s="6" t="s">
        <v>376</v>
      </c>
    </row>
    <row r="118" customFormat="false" ht="15" hidden="false" customHeight="false" outlineLevel="0" collapsed="false">
      <c r="A118" s="6" t="n">
        <v>117</v>
      </c>
      <c r="B118" s="6" t="s">
        <v>13</v>
      </c>
      <c r="C118" s="10" t="s">
        <v>58</v>
      </c>
      <c r="D118" s="6" t="s">
        <v>51</v>
      </c>
      <c r="E118" s="6" t="s">
        <v>377</v>
      </c>
      <c r="F118" s="7" t="s">
        <v>378</v>
      </c>
      <c r="G118" s="6" t="s">
        <v>54</v>
      </c>
      <c r="H118" s="6" t="n">
        <v>200</v>
      </c>
      <c r="I118" s="6" t="n">
        <v>200</v>
      </c>
      <c r="J118" s="6" t="n">
        <v>227.7</v>
      </c>
      <c r="K118" s="6" t="n">
        <v>1515</v>
      </c>
      <c r="L118" s="6" t="n">
        <v>731</v>
      </c>
      <c r="M118" s="6" t="n">
        <f aca="false">IF(AND(ISNUMBER(K118),ISNUMBER(L118)),ROUND(K118/L118,2),"")</f>
        <v>2.07</v>
      </c>
      <c r="N118" s="9" t="s">
        <v>379</v>
      </c>
      <c r="O118" s="8" t="s">
        <v>6</v>
      </c>
      <c r="P118" s="9" t="s">
        <v>67</v>
      </c>
      <c r="Q118" s="7"/>
      <c r="R118" s="6" t="s">
        <v>380</v>
      </c>
    </row>
    <row r="119" customFormat="false" ht="15" hidden="false" customHeight="false" outlineLevel="0" collapsed="false">
      <c r="A119" s="6" t="n">
        <v>118</v>
      </c>
      <c r="B119" s="6" t="s">
        <v>13</v>
      </c>
      <c r="C119" s="10" t="s">
        <v>58</v>
      </c>
      <c r="D119" s="6" t="s">
        <v>51</v>
      </c>
      <c r="E119" s="6" t="s">
        <v>381</v>
      </c>
      <c r="F119" s="7" t="s">
        <v>382</v>
      </c>
      <c r="G119" s="6" t="s">
        <v>54</v>
      </c>
      <c r="H119" s="6" t="n">
        <v>200</v>
      </c>
      <c r="I119" s="6" t="n">
        <v>200</v>
      </c>
      <c r="J119" s="6" t="n">
        <v>126.3</v>
      </c>
      <c r="K119" s="6" t="n">
        <v>1519</v>
      </c>
      <c r="L119" s="6" t="n">
        <v>931</v>
      </c>
      <c r="M119" s="6" t="n">
        <f aca="false">IF(AND(ISNUMBER(K119),ISNUMBER(L119)),ROUND(K119/L119,2),"")</f>
        <v>1.63</v>
      </c>
      <c r="N119" s="9" t="s">
        <v>383</v>
      </c>
      <c r="O119" s="8" t="s">
        <v>6</v>
      </c>
      <c r="P119" s="9" t="s">
        <v>67</v>
      </c>
      <c r="Q119" s="7"/>
      <c r="R119" s="6" t="s">
        <v>384</v>
      </c>
    </row>
    <row r="120" customFormat="false" ht="15" hidden="false" customHeight="false" outlineLevel="0" collapsed="false">
      <c r="A120" s="6" t="n">
        <v>119</v>
      </c>
      <c r="B120" s="6" t="s">
        <v>13</v>
      </c>
      <c r="C120" s="10" t="s">
        <v>58</v>
      </c>
      <c r="D120" s="6" t="s">
        <v>51</v>
      </c>
      <c r="E120" s="6" t="s">
        <v>385</v>
      </c>
      <c r="F120" s="7" t="s">
        <v>386</v>
      </c>
      <c r="G120" s="6" t="s">
        <v>54</v>
      </c>
      <c r="H120" s="6" t="n">
        <v>200</v>
      </c>
      <c r="I120" s="6" t="n">
        <v>200</v>
      </c>
      <c r="J120" s="6" t="n">
        <v>25</v>
      </c>
      <c r="K120" s="6" t="n">
        <v>371</v>
      </c>
      <c r="L120" s="6" t="n">
        <v>234</v>
      </c>
      <c r="M120" s="6" t="n">
        <f aca="false">IF(AND(ISNUMBER(K120),ISNUMBER(L120)),ROUND(K120/L120,2),"")</f>
        <v>1.59</v>
      </c>
      <c r="N120" s="9" t="s">
        <v>387</v>
      </c>
      <c r="O120" s="8" t="s">
        <v>6</v>
      </c>
      <c r="P120" s="9" t="s">
        <v>67</v>
      </c>
      <c r="Q120" s="7"/>
      <c r="R120" s="6" t="s">
        <v>388</v>
      </c>
    </row>
    <row r="121" customFormat="false" ht="15" hidden="false" customHeight="false" outlineLevel="0" collapsed="false">
      <c r="A121" s="6" t="n">
        <v>120</v>
      </c>
      <c r="B121" s="6" t="s">
        <v>13</v>
      </c>
      <c r="C121" s="10" t="s">
        <v>58</v>
      </c>
      <c r="D121" s="6" t="s">
        <v>51</v>
      </c>
      <c r="E121" s="6" t="s">
        <v>389</v>
      </c>
      <c r="F121" s="7" t="s">
        <v>243</v>
      </c>
      <c r="G121" s="6" t="s">
        <v>54</v>
      </c>
      <c r="H121" s="6" t="n">
        <v>200</v>
      </c>
      <c r="I121" s="6" t="n">
        <v>200</v>
      </c>
      <c r="J121" s="6" t="n">
        <v>23.3</v>
      </c>
      <c r="K121" s="6" t="n">
        <v>756</v>
      </c>
      <c r="L121" s="6" t="n">
        <v>1049</v>
      </c>
      <c r="M121" s="6" t="n">
        <f aca="false">IF(AND(ISNUMBER(K121),ISNUMBER(L121)),ROUND(K121/L121,2),"")</f>
        <v>0.72</v>
      </c>
      <c r="N121" s="9" t="s">
        <v>390</v>
      </c>
      <c r="O121" s="8" t="s">
        <v>6</v>
      </c>
      <c r="P121" s="9" t="s">
        <v>335</v>
      </c>
      <c r="Q121" s="7"/>
      <c r="R121" s="6" t="s">
        <v>246</v>
      </c>
    </row>
    <row r="122" customFormat="false" ht="15" hidden="false" customHeight="false" outlineLevel="0" collapsed="false">
      <c r="A122" s="6" t="n">
        <v>121</v>
      </c>
      <c r="B122" s="6" t="s">
        <v>13</v>
      </c>
      <c r="C122" s="10" t="s">
        <v>58</v>
      </c>
      <c r="D122" s="6" t="s">
        <v>51</v>
      </c>
      <c r="E122" s="6" t="s">
        <v>391</v>
      </c>
      <c r="F122" s="7" t="s">
        <v>322</v>
      </c>
      <c r="G122" s="6" t="s">
        <v>54</v>
      </c>
      <c r="H122" s="6" t="n">
        <v>200</v>
      </c>
      <c r="I122" s="6" t="n">
        <v>200</v>
      </c>
      <c r="J122" s="6" t="n">
        <v>338.4</v>
      </c>
      <c r="K122" s="6" t="n">
        <v>1630</v>
      </c>
      <c r="L122" s="6" t="n">
        <v>1920</v>
      </c>
      <c r="M122" s="6" t="n">
        <f aca="false">IF(AND(ISNUMBER(K122),ISNUMBER(L122)),ROUND(K122/L122,2),"")</f>
        <v>0.85</v>
      </c>
      <c r="N122" s="9" t="s">
        <v>392</v>
      </c>
      <c r="O122" s="8" t="s">
        <v>6</v>
      </c>
      <c r="P122" s="9" t="s">
        <v>344</v>
      </c>
      <c r="Q122" s="7"/>
      <c r="R122" s="6" t="s">
        <v>325</v>
      </c>
    </row>
    <row r="123" customFormat="false" ht="15" hidden="false" customHeight="false" outlineLevel="0" collapsed="false">
      <c r="A123" s="6" t="n">
        <v>122</v>
      </c>
      <c r="B123" s="6" t="s">
        <v>13</v>
      </c>
      <c r="C123" s="10" t="s">
        <v>58</v>
      </c>
      <c r="D123" s="6" t="s">
        <v>51</v>
      </c>
      <c r="E123" s="6" t="s">
        <v>393</v>
      </c>
      <c r="F123" s="7" t="s">
        <v>348</v>
      </c>
      <c r="G123" s="6" t="s">
        <v>54</v>
      </c>
      <c r="H123" s="6" t="n">
        <v>200</v>
      </c>
      <c r="I123" s="6" t="n">
        <v>200</v>
      </c>
      <c r="J123" s="6" t="n">
        <v>145.4</v>
      </c>
      <c r="K123" s="6" t="n">
        <v>1916</v>
      </c>
      <c r="L123" s="6" t="n">
        <v>821</v>
      </c>
      <c r="M123" s="6" t="n">
        <f aca="false">IF(AND(ISNUMBER(K123),ISNUMBER(L123)),ROUND(K123/L123,2),"")</f>
        <v>2.33</v>
      </c>
      <c r="N123" s="7" t="s">
        <v>394</v>
      </c>
      <c r="O123" s="8" t="s">
        <v>6</v>
      </c>
      <c r="P123" s="9" t="s">
        <v>350</v>
      </c>
      <c r="Q123" s="7"/>
      <c r="R123" s="6" t="s">
        <v>351</v>
      </c>
    </row>
    <row r="124" customFormat="false" ht="29.85" hidden="false" customHeight="false" outlineLevel="0" collapsed="false">
      <c r="A124" s="6" t="n">
        <v>123</v>
      </c>
      <c r="B124" s="6" t="s">
        <v>13</v>
      </c>
      <c r="C124" s="10" t="s">
        <v>58</v>
      </c>
      <c r="D124" s="6" t="s">
        <v>51</v>
      </c>
      <c r="E124" s="6" t="s">
        <v>395</v>
      </c>
      <c r="F124" s="9" t="s">
        <v>396</v>
      </c>
      <c r="G124" s="6" t="s">
        <v>54</v>
      </c>
      <c r="H124" s="6" t="n">
        <v>200</v>
      </c>
      <c r="I124" s="6" t="n">
        <v>200</v>
      </c>
      <c r="J124" s="6" t="n">
        <v>130.3</v>
      </c>
      <c r="K124" s="6" t="n">
        <v>1799</v>
      </c>
      <c r="L124" s="6" t="n">
        <v>2048</v>
      </c>
      <c r="M124" s="6" t="n">
        <f aca="false">IF(AND(ISNUMBER(K124),ISNUMBER(L124)),ROUND(K124/L124,2),"")</f>
        <v>0.88</v>
      </c>
      <c r="N124" s="7" t="s">
        <v>397</v>
      </c>
      <c r="O124" s="8" t="s">
        <v>6</v>
      </c>
      <c r="P124" s="9" t="s">
        <v>398</v>
      </c>
      <c r="Q124" s="7"/>
      <c r="R124" s="6" t="s">
        <v>399</v>
      </c>
    </row>
    <row r="125" customFormat="false" ht="15" hidden="false" customHeight="false" outlineLevel="0" collapsed="false">
      <c r="A125" s="6" t="n">
        <v>124</v>
      </c>
      <c r="B125" s="6" t="s">
        <v>13</v>
      </c>
      <c r="C125" s="10" t="s">
        <v>58</v>
      </c>
      <c r="D125" s="6" t="s">
        <v>51</v>
      </c>
      <c r="E125" s="6" t="s">
        <v>64</v>
      </c>
      <c r="F125" s="7" t="s">
        <v>139</v>
      </c>
      <c r="G125" s="6" t="s">
        <v>54</v>
      </c>
      <c r="H125" s="6" t="n">
        <v>200</v>
      </c>
      <c r="I125" s="6" t="n">
        <v>200</v>
      </c>
      <c r="J125" s="6" t="n">
        <v>8.9</v>
      </c>
      <c r="K125" s="6" t="n">
        <v>180</v>
      </c>
      <c r="L125" s="6" t="n">
        <v>168</v>
      </c>
      <c r="M125" s="6" t="n">
        <f aca="false">IF(AND(ISNUMBER(K125),ISNUMBER(L125)),ROUND(K125/L125,2),"")</f>
        <v>1.07</v>
      </c>
      <c r="N125" s="7" t="s">
        <v>400</v>
      </c>
      <c r="O125" s="8" t="s">
        <v>6</v>
      </c>
      <c r="P125" s="9" t="s">
        <v>67</v>
      </c>
      <c r="Q125" s="7"/>
      <c r="R125" s="6" t="s">
        <v>141</v>
      </c>
    </row>
    <row r="126" customFormat="false" ht="15" hidden="false" customHeight="false" outlineLevel="0" collapsed="false">
      <c r="A126" s="6" t="n">
        <v>125</v>
      </c>
      <c r="B126" s="6" t="s">
        <v>13</v>
      </c>
      <c r="C126" s="10" t="s">
        <v>58</v>
      </c>
      <c r="D126" s="6" t="s">
        <v>51</v>
      </c>
      <c r="E126" s="6" t="s">
        <v>64</v>
      </c>
      <c r="F126" s="9" t="s">
        <v>157</v>
      </c>
      <c r="G126" s="6" t="s">
        <v>54</v>
      </c>
      <c r="H126" s="6" t="n">
        <v>200</v>
      </c>
      <c r="I126" s="6" t="n">
        <v>200</v>
      </c>
      <c r="J126" s="6" t="n">
        <v>3.7</v>
      </c>
      <c r="K126" s="6" t="n">
        <v>403</v>
      </c>
      <c r="L126" s="6" t="n">
        <v>190</v>
      </c>
      <c r="M126" s="6" t="n">
        <f aca="false">IF(AND(ISNUMBER(K126),ISNUMBER(L126)),ROUND(K126/L126,2),"")</f>
        <v>2.12</v>
      </c>
      <c r="N126" s="9" t="s">
        <v>401</v>
      </c>
      <c r="O126" s="8" t="s">
        <v>6</v>
      </c>
      <c r="P126" s="9" t="s">
        <v>67</v>
      </c>
      <c r="Q126" s="7"/>
      <c r="R126" s="6" t="s">
        <v>159</v>
      </c>
    </row>
    <row r="127" customFormat="false" ht="15" hidden="false" customHeight="false" outlineLevel="0" collapsed="false">
      <c r="A127" s="6" t="n">
        <v>126</v>
      </c>
      <c r="B127" s="6" t="s">
        <v>13</v>
      </c>
      <c r="C127" s="10" t="s">
        <v>58</v>
      </c>
      <c r="D127" s="6" t="s">
        <v>51</v>
      </c>
      <c r="E127" s="6" t="s">
        <v>64</v>
      </c>
      <c r="F127" s="9" t="s">
        <v>148</v>
      </c>
      <c r="G127" s="6" t="s">
        <v>54</v>
      </c>
      <c r="H127" s="6" t="n">
        <v>200</v>
      </c>
      <c r="I127" s="6" t="n">
        <v>200</v>
      </c>
      <c r="J127" s="6" t="n">
        <v>19.1</v>
      </c>
      <c r="K127" s="6" t="n">
        <v>1887</v>
      </c>
      <c r="L127" s="6" t="n">
        <v>753</v>
      </c>
      <c r="M127" s="6" t="n">
        <f aca="false">IF(AND(ISNUMBER(K127),ISNUMBER(L127)),ROUND(K127/L127,2),"")</f>
        <v>2.51</v>
      </c>
      <c r="N127" s="9" t="s">
        <v>402</v>
      </c>
      <c r="O127" s="8" t="s">
        <v>6</v>
      </c>
      <c r="P127" s="9" t="s">
        <v>67</v>
      </c>
      <c r="Q127" s="7"/>
      <c r="R127" s="6" t="s">
        <v>150</v>
      </c>
    </row>
    <row r="128" customFormat="false" ht="15" hidden="false" customHeight="false" outlineLevel="0" collapsed="false">
      <c r="A128" s="6" t="n">
        <v>127</v>
      </c>
      <c r="B128" s="6" t="s">
        <v>13</v>
      </c>
      <c r="C128" s="10" t="s">
        <v>58</v>
      </c>
      <c r="D128" s="6" t="s">
        <v>51</v>
      </c>
      <c r="E128" s="6" t="s">
        <v>64</v>
      </c>
      <c r="F128" s="7" t="s">
        <v>142</v>
      </c>
      <c r="G128" s="6" t="s">
        <v>54</v>
      </c>
      <c r="H128" s="6" t="n">
        <v>200</v>
      </c>
      <c r="I128" s="6" t="n">
        <v>200</v>
      </c>
      <c r="J128" s="6" t="n">
        <v>19</v>
      </c>
      <c r="K128" s="6" t="n">
        <v>1920</v>
      </c>
      <c r="L128" s="6" t="n">
        <v>947</v>
      </c>
      <c r="M128" s="6" t="n">
        <f aca="false">IF(AND(ISNUMBER(K128),ISNUMBER(L128)),ROUND(K128/L128,2),"")</f>
        <v>2.03</v>
      </c>
      <c r="N128" s="7" t="s">
        <v>403</v>
      </c>
      <c r="O128" s="8" t="s">
        <v>6</v>
      </c>
      <c r="P128" s="9" t="s">
        <v>67</v>
      </c>
      <c r="Q128" s="7"/>
      <c r="R128" s="6" t="s">
        <v>144</v>
      </c>
    </row>
    <row r="129" customFormat="false" ht="15" hidden="false" customHeight="false" outlineLevel="0" collapsed="false">
      <c r="A129" s="6" t="n">
        <v>128</v>
      </c>
      <c r="B129" s="6" t="s">
        <v>13</v>
      </c>
      <c r="C129" s="10" t="s">
        <v>58</v>
      </c>
      <c r="D129" s="6" t="s">
        <v>51</v>
      </c>
      <c r="E129" s="6" t="s">
        <v>64</v>
      </c>
      <c r="F129" s="7" t="s">
        <v>233</v>
      </c>
      <c r="G129" s="6" t="s">
        <v>54</v>
      </c>
      <c r="H129" s="6" t="n">
        <v>200</v>
      </c>
      <c r="I129" s="6" t="n">
        <v>200</v>
      </c>
      <c r="J129" s="6" t="n">
        <v>18.1</v>
      </c>
      <c r="K129" s="6" t="n">
        <v>800</v>
      </c>
      <c r="L129" s="6" t="n">
        <v>386</v>
      </c>
      <c r="M129" s="6" t="n">
        <f aca="false">IF(AND(ISNUMBER(K129),ISNUMBER(L129)),ROUND(K129/L129,2),"")</f>
        <v>2.07</v>
      </c>
      <c r="N129" s="9" t="s">
        <v>404</v>
      </c>
      <c r="O129" s="8" t="s">
        <v>6</v>
      </c>
      <c r="P129" s="9" t="s">
        <v>67</v>
      </c>
      <c r="Q129" s="7"/>
      <c r="R129" s="6" t="s">
        <v>235</v>
      </c>
    </row>
    <row r="130" customFormat="false" ht="15" hidden="false" customHeight="false" outlineLevel="0" collapsed="false">
      <c r="A130" s="6" t="n">
        <v>129</v>
      </c>
      <c r="B130" s="6" t="s">
        <v>13</v>
      </c>
      <c r="C130" s="10" t="s">
        <v>58</v>
      </c>
      <c r="D130" s="6" t="s">
        <v>51</v>
      </c>
      <c r="E130" s="6" t="s">
        <v>64</v>
      </c>
      <c r="F130" s="7" t="s">
        <v>405</v>
      </c>
      <c r="G130" s="6" t="s">
        <v>54</v>
      </c>
      <c r="H130" s="6" t="n">
        <v>200</v>
      </c>
      <c r="I130" s="6" t="n">
        <v>200</v>
      </c>
      <c r="J130" s="6" t="n">
        <v>9.7</v>
      </c>
      <c r="K130" s="6" t="n">
        <v>800</v>
      </c>
      <c r="L130" s="6" t="n">
        <v>600</v>
      </c>
      <c r="M130" s="6" t="n">
        <f aca="false">IF(AND(ISNUMBER(K130),ISNUMBER(L130)),ROUND(K130/L130,2),"")</f>
        <v>1.33</v>
      </c>
      <c r="N130" s="7" t="s">
        <v>406</v>
      </c>
      <c r="O130" s="8" t="s">
        <v>6</v>
      </c>
      <c r="P130" s="9" t="s">
        <v>67</v>
      </c>
      <c r="Q130" s="7"/>
      <c r="R130" s="6" t="s">
        <v>407</v>
      </c>
    </row>
    <row r="131" customFormat="false" ht="15" hidden="false" customHeight="false" outlineLevel="0" collapsed="false">
      <c r="A131" s="6" t="n">
        <v>130</v>
      </c>
      <c r="B131" s="6" t="s">
        <v>13</v>
      </c>
      <c r="C131" s="10" t="s">
        <v>58</v>
      </c>
      <c r="D131" s="6" t="s">
        <v>51</v>
      </c>
      <c r="E131" s="6" t="s">
        <v>64</v>
      </c>
      <c r="F131" s="7" t="s">
        <v>167</v>
      </c>
      <c r="G131" s="6" t="s">
        <v>54</v>
      </c>
      <c r="H131" s="6" t="n">
        <v>200</v>
      </c>
      <c r="I131" s="6" t="n">
        <v>200</v>
      </c>
      <c r="J131" s="6" t="n">
        <v>150.2</v>
      </c>
      <c r="K131" s="6" t="n">
        <v>1915</v>
      </c>
      <c r="L131" s="6" t="n">
        <v>821</v>
      </c>
      <c r="M131" s="6" t="n">
        <f aca="false">IF(AND(ISNUMBER(K131),ISNUMBER(L131)),ROUND(K131/L131,2),"")</f>
        <v>2.33</v>
      </c>
      <c r="N131" s="9" t="s">
        <v>168</v>
      </c>
      <c r="O131" s="11" t="s">
        <v>5</v>
      </c>
      <c r="P131" s="7"/>
      <c r="Q131" s="7"/>
      <c r="R131" s="6" t="s">
        <v>169</v>
      </c>
    </row>
    <row r="132" customFormat="false" ht="15" hidden="false" customHeight="false" outlineLevel="0" collapsed="false">
      <c r="A132" s="6" t="n">
        <v>131</v>
      </c>
      <c r="B132" s="6" t="s">
        <v>13</v>
      </c>
      <c r="C132" s="6" t="s">
        <v>50</v>
      </c>
      <c r="D132" s="6" t="s">
        <v>51</v>
      </c>
      <c r="E132" s="6" t="s">
        <v>170</v>
      </c>
      <c r="F132" s="9" t="s">
        <v>171</v>
      </c>
      <c r="G132" s="6" t="s">
        <v>54</v>
      </c>
      <c r="H132" s="6" t="n">
        <v>200</v>
      </c>
      <c r="I132" s="6" t="n">
        <v>200</v>
      </c>
      <c r="J132" s="6" t="n">
        <v>51.5</v>
      </c>
      <c r="K132" s="6" t="n">
        <v>537</v>
      </c>
      <c r="L132" s="6" t="n">
        <v>403</v>
      </c>
      <c r="M132" s="6" t="n">
        <f aca="false">IF(AND(ISNUMBER(K132),ISNUMBER(L132)),ROUND(K132/L132,2),"")</f>
        <v>1.33</v>
      </c>
      <c r="N132" s="9" t="s">
        <v>172</v>
      </c>
      <c r="O132" s="11" t="s">
        <v>5</v>
      </c>
      <c r="P132" s="7"/>
      <c r="Q132" s="7"/>
      <c r="R132" s="6" t="s">
        <v>173</v>
      </c>
    </row>
    <row r="133" customFormat="false" ht="15" hidden="false" customHeight="false" outlineLevel="0" collapsed="false">
      <c r="A133" s="6" t="n">
        <v>132</v>
      </c>
      <c r="B133" s="6" t="s">
        <v>13</v>
      </c>
      <c r="C133" s="6" t="s">
        <v>50</v>
      </c>
      <c r="D133" s="6" t="s">
        <v>51</v>
      </c>
      <c r="E133" s="6" t="s">
        <v>174</v>
      </c>
      <c r="F133" s="7" t="s">
        <v>53</v>
      </c>
      <c r="G133" s="6" t="s">
        <v>54</v>
      </c>
      <c r="H133" s="6" t="n">
        <v>200</v>
      </c>
      <c r="I133" s="6" t="n">
        <v>200</v>
      </c>
      <c r="J133" s="6" t="n">
        <v>3.9</v>
      </c>
      <c r="K133" s="6" t="n">
        <v>442</v>
      </c>
      <c r="L133" s="6" t="n">
        <v>129</v>
      </c>
      <c r="M133" s="6" t="n">
        <f aca="false">IF(AND(ISNUMBER(K133),ISNUMBER(L133)),ROUND(K133/L133,2),"")</f>
        <v>3.43</v>
      </c>
      <c r="N133" s="7" t="s">
        <v>55</v>
      </c>
      <c r="O133" s="8" t="s">
        <v>6</v>
      </c>
      <c r="P133" s="9" t="s">
        <v>56</v>
      </c>
      <c r="Q133" s="7"/>
      <c r="R133" s="6" t="s">
        <v>57</v>
      </c>
    </row>
    <row r="134" customFormat="false" ht="15" hidden="false" customHeight="false" outlineLevel="0" collapsed="false">
      <c r="A134" s="6" t="n">
        <v>133</v>
      </c>
      <c r="B134" s="6" t="s">
        <v>13</v>
      </c>
      <c r="C134" s="6" t="s">
        <v>175</v>
      </c>
      <c r="D134" s="6" t="s">
        <v>176</v>
      </c>
      <c r="E134" s="6" t="s">
        <v>176</v>
      </c>
      <c r="F134" s="7" t="s">
        <v>408</v>
      </c>
      <c r="G134" s="6" t="s">
        <v>54</v>
      </c>
      <c r="H134" s="6" t="n">
        <v>200</v>
      </c>
      <c r="I134" s="6" t="s">
        <v>178</v>
      </c>
      <c r="J134" s="6" t="n">
        <v>4681.9</v>
      </c>
      <c r="K134" s="6" t="n">
        <v>4320</v>
      </c>
      <c r="L134" s="6" t="n">
        <v>1428</v>
      </c>
      <c r="M134" s="6" t="n">
        <f aca="false">IF(AND(ISNUMBER(K134),ISNUMBER(L134)),ROUND(K134/L134,2),"")</f>
        <v>3.03</v>
      </c>
      <c r="N134" s="7" t="s">
        <v>179</v>
      </c>
      <c r="O134" s="8" t="s">
        <v>6</v>
      </c>
      <c r="P134" s="9" t="s">
        <v>180</v>
      </c>
      <c r="Q134" s="7"/>
      <c r="R134" s="6" t="s">
        <v>409</v>
      </c>
    </row>
    <row r="135" customFormat="false" ht="15" hidden="false" customHeight="false" outlineLevel="0" collapsed="false">
      <c r="A135" s="6" t="n">
        <v>134</v>
      </c>
      <c r="B135" s="6" t="s">
        <v>14</v>
      </c>
      <c r="C135" s="6" t="s">
        <v>50</v>
      </c>
      <c r="D135" s="6" t="s">
        <v>51</v>
      </c>
      <c r="E135" s="6" t="s">
        <v>52</v>
      </c>
      <c r="F135" s="7" t="s">
        <v>53</v>
      </c>
      <c r="G135" s="6" t="s">
        <v>54</v>
      </c>
      <c r="H135" s="6" t="n">
        <v>200</v>
      </c>
      <c r="I135" s="6" t="n">
        <v>200</v>
      </c>
      <c r="J135" s="6" t="n">
        <v>3.9</v>
      </c>
      <c r="K135" s="6" t="n">
        <v>442</v>
      </c>
      <c r="L135" s="6" t="n">
        <v>129</v>
      </c>
      <c r="M135" s="6" t="n">
        <f aca="false">IF(AND(ISNUMBER(K135),ISNUMBER(L135)),ROUND(K135/L135,2),"")</f>
        <v>3.43</v>
      </c>
      <c r="N135" s="7" t="s">
        <v>55</v>
      </c>
      <c r="O135" s="8" t="s">
        <v>6</v>
      </c>
      <c r="P135" s="9" t="s">
        <v>56</v>
      </c>
      <c r="Q135" s="7"/>
      <c r="R135" s="6" t="s">
        <v>57</v>
      </c>
    </row>
    <row r="136" customFormat="false" ht="15" hidden="false" customHeight="false" outlineLevel="0" collapsed="false">
      <c r="A136" s="6" t="n">
        <v>135</v>
      </c>
      <c r="B136" s="6" t="s">
        <v>14</v>
      </c>
      <c r="C136" s="10" t="s">
        <v>58</v>
      </c>
      <c r="D136" s="6" t="s">
        <v>51</v>
      </c>
      <c r="E136" s="6" t="s">
        <v>182</v>
      </c>
      <c r="F136" s="9" t="s">
        <v>107</v>
      </c>
      <c r="G136" s="6" t="s">
        <v>54</v>
      </c>
      <c r="H136" s="6" t="n">
        <v>200</v>
      </c>
      <c r="I136" s="6" t="n">
        <v>200</v>
      </c>
      <c r="J136" s="6" t="n">
        <v>169.1</v>
      </c>
      <c r="K136" s="6" t="n">
        <v>1672</v>
      </c>
      <c r="L136" s="6" t="n">
        <v>941</v>
      </c>
      <c r="M136" s="6" t="n">
        <f aca="false">IF(AND(ISNUMBER(K136),ISNUMBER(L136)),ROUND(K136/L136,2),"")</f>
        <v>1.78</v>
      </c>
      <c r="N136" s="9" t="s">
        <v>229</v>
      </c>
      <c r="O136" s="11" t="s">
        <v>5</v>
      </c>
      <c r="P136" s="7"/>
      <c r="Q136" s="7"/>
      <c r="R136" s="6" t="s">
        <v>109</v>
      </c>
    </row>
    <row r="137" customFormat="false" ht="44" hidden="false" customHeight="false" outlineLevel="0" collapsed="false">
      <c r="A137" s="6" t="n">
        <v>136</v>
      </c>
      <c r="B137" s="6" t="s">
        <v>14</v>
      </c>
      <c r="C137" s="10" t="s">
        <v>58</v>
      </c>
      <c r="D137" s="6" t="s">
        <v>51</v>
      </c>
      <c r="E137" s="6" t="s">
        <v>410</v>
      </c>
      <c r="F137" s="7" t="s">
        <v>297</v>
      </c>
      <c r="G137" s="6" t="s">
        <v>54</v>
      </c>
      <c r="H137" s="6" t="n">
        <v>200</v>
      </c>
      <c r="I137" s="6" t="n">
        <v>200</v>
      </c>
      <c r="J137" s="6" t="n">
        <v>47.5</v>
      </c>
      <c r="K137" s="6" t="n">
        <v>1233</v>
      </c>
      <c r="L137" s="6" t="n">
        <v>673</v>
      </c>
      <c r="M137" s="6" t="n">
        <f aca="false">IF(AND(ISNUMBER(K137),ISNUMBER(L137)),ROUND(K137/L137,2),"")</f>
        <v>1.83</v>
      </c>
      <c r="N137" s="9" t="s">
        <v>411</v>
      </c>
      <c r="O137" s="8" t="s">
        <v>6</v>
      </c>
      <c r="P137" s="9" t="s">
        <v>67</v>
      </c>
      <c r="Q137" s="7"/>
      <c r="R137" s="6" t="s">
        <v>299</v>
      </c>
    </row>
    <row r="138" customFormat="false" ht="15" hidden="false" customHeight="false" outlineLevel="0" collapsed="false">
      <c r="A138" s="6" t="n">
        <v>137</v>
      </c>
      <c r="B138" s="6" t="s">
        <v>14</v>
      </c>
      <c r="C138" s="10" t="s">
        <v>58</v>
      </c>
      <c r="D138" s="6" t="s">
        <v>51</v>
      </c>
      <c r="E138" s="6" t="s">
        <v>412</v>
      </c>
      <c r="F138" s="9" t="s">
        <v>413</v>
      </c>
      <c r="G138" s="6" t="s">
        <v>54</v>
      </c>
      <c r="H138" s="6" t="n">
        <v>200</v>
      </c>
      <c r="I138" s="6" t="n">
        <v>200</v>
      </c>
      <c r="J138" s="6" t="n">
        <v>559.5</v>
      </c>
      <c r="K138" s="6" t="n">
        <v>3840</v>
      </c>
      <c r="L138" s="6" t="n">
        <v>2161</v>
      </c>
      <c r="M138" s="6" t="n">
        <f aca="false">IF(AND(ISNUMBER(K138),ISNUMBER(L138)),ROUND(K138/L138,2),"")</f>
        <v>1.78</v>
      </c>
      <c r="N138" s="9" t="s">
        <v>414</v>
      </c>
      <c r="O138" s="8" t="s">
        <v>6</v>
      </c>
      <c r="P138" s="9" t="s">
        <v>180</v>
      </c>
      <c r="Q138" s="7"/>
      <c r="R138" s="6" t="s">
        <v>415</v>
      </c>
    </row>
    <row r="139" customFormat="false" ht="15" hidden="false" customHeight="false" outlineLevel="0" collapsed="false">
      <c r="A139" s="6" t="n">
        <v>138</v>
      </c>
      <c r="B139" s="6" t="s">
        <v>14</v>
      </c>
      <c r="C139" s="10" t="s">
        <v>58</v>
      </c>
      <c r="D139" s="6" t="s">
        <v>51</v>
      </c>
      <c r="E139" s="6" t="s">
        <v>416</v>
      </c>
      <c r="F139" s="7" t="s">
        <v>417</v>
      </c>
      <c r="G139" s="6" t="s">
        <v>54</v>
      </c>
      <c r="H139" s="6" t="n">
        <v>200</v>
      </c>
      <c r="I139" s="6" t="n">
        <v>200</v>
      </c>
      <c r="J139" s="6" t="n">
        <v>15.6</v>
      </c>
      <c r="K139" s="6" t="n">
        <v>556</v>
      </c>
      <c r="L139" s="6" t="n">
        <v>360</v>
      </c>
      <c r="M139" s="6" t="n">
        <f aca="false">IF(AND(ISNUMBER(K139),ISNUMBER(L139)),ROUND(K139/L139,2),"")</f>
        <v>1.54</v>
      </c>
      <c r="N139" s="9" t="s">
        <v>418</v>
      </c>
      <c r="O139" s="11" t="s">
        <v>5</v>
      </c>
      <c r="P139" s="7"/>
      <c r="Q139" s="7"/>
      <c r="R139" s="6" t="s">
        <v>419</v>
      </c>
    </row>
    <row r="140" customFormat="false" ht="15" hidden="false" customHeight="false" outlineLevel="0" collapsed="false">
      <c r="A140" s="6" t="n">
        <v>139</v>
      </c>
      <c r="B140" s="6" t="s">
        <v>14</v>
      </c>
      <c r="C140" s="10" t="s">
        <v>58</v>
      </c>
      <c r="D140" s="6" t="s">
        <v>51</v>
      </c>
      <c r="E140" s="6" t="s">
        <v>416</v>
      </c>
      <c r="F140" s="7" t="s">
        <v>420</v>
      </c>
      <c r="G140" s="6" t="s">
        <v>54</v>
      </c>
      <c r="H140" s="6" t="n">
        <v>200</v>
      </c>
      <c r="I140" s="6" t="n">
        <v>200</v>
      </c>
      <c r="J140" s="6" t="n">
        <v>52.1</v>
      </c>
      <c r="K140" s="6" t="n">
        <v>920</v>
      </c>
      <c r="L140" s="6" t="n">
        <v>740</v>
      </c>
      <c r="M140" s="6" t="n">
        <f aca="false">IF(AND(ISNUMBER(K140),ISNUMBER(L140)),ROUND(K140/L140,2),"")</f>
        <v>1.24</v>
      </c>
      <c r="N140" s="9" t="s">
        <v>421</v>
      </c>
      <c r="O140" s="11" t="s">
        <v>5</v>
      </c>
      <c r="P140" s="7"/>
      <c r="Q140" s="7"/>
      <c r="R140" s="6" t="s">
        <v>422</v>
      </c>
    </row>
    <row r="141" customFormat="false" ht="15" hidden="false" customHeight="false" outlineLevel="0" collapsed="false">
      <c r="A141" s="6" t="n">
        <v>140</v>
      </c>
      <c r="B141" s="6" t="s">
        <v>14</v>
      </c>
      <c r="C141" s="10" t="s">
        <v>58</v>
      </c>
      <c r="D141" s="6" t="s">
        <v>51</v>
      </c>
      <c r="E141" s="6" t="s">
        <v>416</v>
      </c>
      <c r="F141" s="7" t="s">
        <v>423</v>
      </c>
      <c r="G141" s="6" t="s">
        <v>54</v>
      </c>
      <c r="H141" s="6" t="n">
        <v>200</v>
      </c>
      <c r="I141" s="6" t="n">
        <v>200</v>
      </c>
      <c r="J141" s="6" t="n">
        <v>81.9</v>
      </c>
      <c r="K141" s="6" t="n">
        <v>1360</v>
      </c>
      <c r="L141" s="6" t="n">
        <v>554</v>
      </c>
      <c r="M141" s="6" t="n">
        <f aca="false">IF(AND(ISNUMBER(K141),ISNUMBER(L141)),ROUND(K141/L141,2),"")</f>
        <v>2.45</v>
      </c>
      <c r="N141" s="9" t="s">
        <v>424</v>
      </c>
      <c r="O141" s="11" t="s">
        <v>5</v>
      </c>
      <c r="P141" s="7"/>
      <c r="Q141" s="7"/>
      <c r="R141" s="6" t="s">
        <v>425</v>
      </c>
    </row>
    <row r="142" customFormat="false" ht="15" hidden="false" customHeight="false" outlineLevel="0" collapsed="false">
      <c r="A142" s="6" t="n">
        <v>141</v>
      </c>
      <c r="B142" s="6" t="s">
        <v>14</v>
      </c>
      <c r="C142" s="10" t="s">
        <v>58</v>
      </c>
      <c r="D142" s="6" t="s">
        <v>51</v>
      </c>
      <c r="E142" s="6" t="s">
        <v>312</v>
      </c>
      <c r="F142" s="7" t="s">
        <v>167</v>
      </c>
      <c r="G142" s="6" t="s">
        <v>54</v>
      </c>
      <c r="H142" s="6" t="n">
        <v>200</v>
      </c>
      <c r="I142" s="6" t="n">
        <v>200</v>
      </c>
      <c r="J142" s="6" t="n">
        <v>150.2</v>
      </c>
      <c r="K142" s="6" t="n">
        <v>1915</v>
      </c>
      <c r="L142" s="6" t="n">
        <v>821</v>
      </c>
      <c r="M142" s="6" t="n">
        <f aca="false">IF(AND(ISNUMBER(K142),ISNUMBER(L142)),ROUND(K142/L142,2),"")</f>
        <v>2.33</v>
      </c>
      <c r="N142" s="9" t="s">
        <v>168</v>
      </c>
      <c r="O142" s="8" t="s">
        <v>6</v>
      </c>
      <c r="P142" s="9" t="s">
        <v>67</v>
      </c>
      <c r="Q142" s="7"/>
      <c r="R142" s="6" t="s">
        <v>169</v>
      </c>
    </row>
    <row r="143" customFormat="false" ht="15" hidden="false" customHeight="false" outlineLevel="0" collapsed="false">
      <c r="A143" s="6" t="n">
        <v>142</v>
      </c>
      <c r="B143" s="6" t="s">
        <v>14</v>
      </c>
      <c r="C143" s="6" t="s">
        <v>50</v>
      </c>
      <c r="D143" s="6" t="s">
        <v>51</v>
      </c>
      <c r="E143" s="6" t="s">
        <v>170</v>
      </c>
      <c r="F143" s="9" t="s">
        <v>171</v>
      </c>
      <c r="G143" s="6" t="s">
        <v>54</v>
      </c>
      <c r="H143" s="6" t="n">
        <v>200</v>
      </c>
      <c r="I143" s="6" t="n">
        <v>200</v>
      </c>
      <c r="J143" s="6" t="n">
        <v>51.5</v>
      </c>
      <c r="K143" s="6" t="n">
        <v>537</v>
      </c>
      <c r="L143" s="6" t="n">
        <v>403</v>
      </c>
      <c r="M143" s="6" t="n">
        <f aca="false">IF(AND(ISNUMBER(K143),ISNUMBER(L143)),ROUND(K143/L143,2),"")</f>
        <v>1.33</v>
      </c>
      <c r="N143" s="9" t="s">
        <v>172</v>
      </c>
      <c r="O143" s="11" t="s">
        <v>5</v>
      </c>
      <c r="P143" s="7"/>
      <c r="Q143" s="7"/>
      <c r="R143" s="6" t="s">
        <v>173</v>
      </c>
    </row>
    <row r="144" customFormat="false" ht="15" hidden="false" customHeight="false" outlineLevel="0" collapsed="false">
      <c r="A144" s="6" t="n">
        <v>143</v>
      </c>
      <c r="B144" s="6" t="s">
        <v>14</v>
      </c>
      <c r="C144" s="6" t="s">
        <v>50</v>
      </c>
      <c r="D144" s="6" t="s">
        <v>51</v>
      </c>
      <c r="E144" s="6" t="s">
        <v>174</v>
      </c>
      <c r="F144" s="7" t="s">
        <v>53</v>
      </c>
      <c r="G144" s="6" t="s">
        <v>54</v>
      </c>
      <c r="H144" s="6" t="n">
        <v>200</v>
      </c>
      <c r="I144" s="6" t="n">
        <v>200</v>
      </c>
      <c r="J144" s="6" t="n">
        <v>3.9</v>
      </c>
      <c r="K144" s="6" t="n">
        <v>442</v>
      </c>
      <c r="L144" s="6" t="n">
        <v>129</v>
      </c>
      <c r="M144" s="6" t="n">
        <f aca="false">IF(AND(ISNUMBER(K144),ISNUMBER(L144)),ROUND(K144/L144,2),"")</f>
        <v>3.43</v>
      </c>
      <c r="N144" s="7" t="s">
        <v>55</v>
      </c>
      <c r="O144" s="8" t="s">
        <v>6</v>
      </c>
      <c r="P144" s="9" t="s">
        <v>56</v>
      </c>
      <c r="Q144" s="7"/>
      <c r="R144" s="6" t="s">
        <v>57</v>
      </c>
    </row>
    <row r="145" customFormat="false" ht="15" hidden="false" customHeight="false" outlineLevel="0" collapsed="false">
      <c r="A145" s="6" t="n">
        <v>144</v>
      </c>
      <c r="B145" s="6" t="s">
        <v>14</v>
      </c>
      <c r="C145" s="10" t="s">
        <v>58</v>
      </c>
      <c r="D145" s="6" t="s">
        <v>315</v>
      </c>
      <c r="E145" s="6" t="s">
        <v>316</v>
      </c>
      <c r="F145" s="7" t="s">
        <v>317</v>
      </c>
      <c r="G145" s="6" t="s">
        <v>54</v>
      </c>
      <c r="H145" s="6" t="n">
        <v>200</v>
      </c>
      <c r="I145" s="6" t="s">
        <v>178</v>
      </c>
      <c r="J145" s="6" t="n">
        <v>3199.9</v>
      </c>
      <c r="K145" s="6" t="n">
        <v>1983</v>
      </c>
      <c r="L145" s="6" t="n">
        <v>793</v>
      </c>
      <c r="M145" s="6" t="n">
        <f aca="false">IF(AND(ISNUMBER(K145),ISNUMBER(L145)),ROUND(K145/L145,2),"")</f>
        <v>2.5</v>
      </c>
      <c r="N145" s="7" t="s">
        <v>318</v>
      </c>
      <c r="O145" s="8" t="s">
        <v>6</v>
      </c>
      <c r="P145" s="9" t="s">
        <v>180</v>
      </c>
      <c r="Q145" s="7"/>
      <c r="R145" s="6" t="s">
        <v>319</v>
      </c>
    </row>
    <row r="146" customFormat="false" ht="15" hidden="false" customHeight="false" outlineLevel="0" collapsed="false">
      <c r="A146" s="6" t="n">
        <v>145</v>
      </c>
      <c r="B146" s="6" t="s">
        <v>15</v>
      </c>
      <c r="C146" s="6" t="s">
        <v>50</v>
      </c>
      <c r="D146" s="6" t="s">
        <v>51</v>
      </c>
      <c r="E146" s="6" t="s">
        <v>52</v>
      </c>
      <c r="F146" s="7" t="s">
        <v>53</v>
      </c>
      <c r="G146" s="6" t="s">
        <v>54</v>
      </c>
      <c r="H146" s="6" t="n">
        <v>200</v>
      </c>
      <c r="I146" s="6" t="n">
        <v>200</v>
      </c>
      <c r="J146" s="6" t="n">
        <v>3.9</v>
      </c>
      <c r="K146" s="6" t="n">
        <v>442</v>
      </c>
      <c r="L146" s="6" t="n">
        <v>129</v>
      </c>
      <c r="M146" s="6" t="n">
        <f aca="false">IF(AND(ISNUMBER(K146),ISNUMBER(L146)),ROUND(K146/L146,2),"")</f>
        <v>3.43</v>
      </c>
      <c r="N146" s="7" t="s">
        <v>55</v>
      </c>
      <c r="O146" s="8" t="s">
        <v>6</v>
      </c>
      <c r="P146" s="9" t="s">
        <v>56</v>
      </c>
      <c r="Q146" s="7"/>
      <c r="R146" s="6" t="s">
        <v>57</v>
      </c>
    </row>
    <row r="147" customFormat="false" ht="15" hidden="false" customHeight="false" outlineLevel="0" collapsed="false">
      <c r="A147" s="6" t="n">
        <v>146</v>
      </c>
      <c r="B147" s="6" t="s">
        <v>15</v>
      </c>
      <c r="C147" s="10" t="s">
        <v>58</v>
      </c>
      <c r="D147" s="6" t="s">
        <v>51</v>
      </c>
      <c r="E147" s="6" t="s">
        <v>59</v>
      </c>
      <c r="F147" s="7" t="s">
        <v>329</v>
      </c>
      <c r="G147" s="6" t="s">
        <v>54</v>
      </c>
      <c r="H147" s="6" t="n">
        <v>200</v>
      </c>
      <c r="I147" s="6" t="n">
        <v>200</v>
      </c>
      <c r="J147" s="6" t="n">
        <v>166.2</v>
      </c>
      <c r="K147" s="6" t="n">
        <v>1920</v>
      </c>
      <c r="L147" s="6" t="n">
        <v>635</v>
      </c>
      <c r="M147" s="6" t="n">
        <f aca="false">IF(AND(ISNUMBER(K147),ISNUMBER(L147)),ROUND(K147/L147,2),"")</f>
        <v>3.02</v>
      </c>
      <c r="N147" s="9" t="s">
        <v>426</v>
      </c>
      <c r="O147" s="8" t="s">
        <v>6</v>
      </c>
      <c r="P147" s="9" t="s">
        <v>331</v>
      </c>
      <c r="Q147" s="7"/>
      <c r="R147" s="6" t="s">
        <v>332</v>
      </c>
    </row>
    <row r="148" customFormat="false" ht="15" hidden="false" customHeight="false" outlineLevel="0" collapsed="false">
      <c r="A148" s="6" t="n">
        <v>147</v>
      </c>
      <c r="B148" s="6" t="s">
        <v>15</v>
      </c>
      <c r="C148" s="10" t="s">
        <v>58</v>
      </c>
      <c r="D148" s="6" t="s">
        <v>51</v>
      </c>
      <c r="E148" s="6" t="s">
        <v>333</v>
      </c>
      <c r="F148" s="7" t="s">
        <v>250</v>
      </c>
      <c r="G148" s="6" t="s">
        <v>54</v>
      </c>
      <c r="H148" s="6" t="n">
        <v>200</v>
      </c>
      <c r="I148" s="6" t="n">
        <v>200</v>
      </c>
      <c r="J148" s="6" t="n">
        <v>93.2</v>
      </c>
      <c r="K148" s="6" t="n">
        <v>1376</v>
      </c>
      <c r="L148" s="6" t="n">
        <v>768</v>
      </c>
      <c r="M148" s="6" t="n">
        <f aca="false">IF(AND(ISNUMBER(K148),ISNUMBER(L148)),ROUND(K148/L148,2),"")</f>
        <v>1.79</v>
      </c>
      <c r="N148" s="9" t="s">
        <v>427</v>
      </c>
      <c r="O148" s="11" t="s">
        <v>5</v>
      </c>
      <c r="P148" s="7"/>
      <c r="Q148" s="7"/>
      <c r="R148" s="6" t="s">
        <v>252</v>
      </c>
    </row>
    <row r="149" customFormat="false" ht="15" hidden="false" customHeight="false" outlineLevel="0" collapsed="false">
      <c r="A149" s="6" t="n">
        <v>148</v>
      </c>
      <c r="B149" s="6" t="s">
        <v>15</v>
      </c>
      <c r="C149" s="10" t="s">
        <v>58</v>
      </c>
      <c r="D149" s="6" t="s">
        <v>51</v>
      </c>
      <c r="E149" s="6" t="s">
        <v>336</v>
      </c>
      <c r="F149" s="7" t="s">
        <v>362</v>
      </c>
      <c r="G149" s="6" t="s">
        <v>54</v>
      </c>
      <c r="H149" s="6" t="n">
        <v>200</v>
      </c>
      <c r="I149" s="6" t="n">
        <v>200</v>
      </c>
      <c r="J149" s="6" t="n">
        <v>62.4</v>
      </c>
      <c r="K149" s="6" t="n">
        <v>1027</v>
      </c>
      <c r="L149" s="6" t="n">
        <v>535</v>
      </c>
      <c r="M149" s="6" t="n">
        <f aca="false">IF(AND(ISNUMBER(K149),ISNUMBER(L149)),ROUND(K149/L149,2),"")</f>
        <v>1.92</v>
      </c>
      <c r="N149" s="9" t="s">
        <v>428</v>
      </c>
      <c r="O149" s="11" t="s">
        <v>5</v>
      </c>
      <c r="P149" s="7"/>
      <c r="Q149" s="7"/>
      <c r="R149" s="6" t="s">
        <v>364</v>
      </c>
    </row>
    <row r="150" customFormat="false" ht="15" hidden="false" customHeight="false" outlineLevel="0" collapsed="false">
      <c r="A150" s="6" t="n">
        <v>149</v>
      </c>
      <c r="B150" s="6" t="s">
        <v>15</v>
      </c>
      <c r="C150" s="10" t="s">
        <v>58</v>
      </c>
      <c r="D150" s="6" t="s">
        <v>51</v>
      </c>
      <c r="E150" s="6" t="s">
        <v>340</v>
      </c>
      <c r="F150" s="7" t="s">
        <v>337</v>
      </c>
      <c r="G150" s="6" t="s">
        <v>54</v>
      </c>
      <c r="H150" s="6" t="n">
        <v>200</v>
      </c>
      <c r="I150" s="6" t="n">
        <v>200</v>
      </c>
      <c r="J150" s="6" t="n">
        <v>160</v>
      </c>
      <c r="K150" s="6" t="n">
        <v>1672</v>
      </c>
      <c r="L150" s="6" t="n">
        <v>941</v>
      </c>
      <c r="M150" s="6" t="n">
        <f aca="false">IF(AND(ISNUMBER(K150),ISNUMBER(L150)),ROUND(K150/L150,2),"")</f>
        <v>1.78</v>
      </c>
      <c r="N150" s="9" t="s">
        <v>429</v>
      </c>
      <c r="O150" s="11" t="s">
        <v>5</v>
      </c>
      <c r="P150" s="7"/>
      <c r="Q150" s="7"/>
      <c r="R150" s="6" t="s">
        <v>339</v>
      </c>
    </row>
    <row r="151" customFormat="false" ht="15" hidden="false" customHeight="false" outlineLevel="0" collapsed="false">
      <c r="A151" s="6" t="n">
        <v>150</v>
      </c>
      <c r="B151" s="6" t="s">
        <v>15</v>
      </c>
      <c r="C151" s="10" t="s">
        <v>58</v>
      </c>
      <c r="D151" s="6" t="s">
        <v>51</v>
      </c>
      <c r="E151" s="6" t="s">
        <v>342</v>
      </c>
      <c r="F151" s="7" t="s">
        <v>430</v>
      </c>
      <c r="G151" s="6" t="s">
        <v>54</v>
      </c>
      <c r="H151" s="6" t="n">
        <v>200</v>
      </c>
      <c r="I151" s="6" t="n">
        <v>200</v>
      </c>
      <c r="J151" s="6" t="n">
        <v>154.3</v>
      </c>
      <c r="K151" s="6" t="n">
        <v>1536</v>
      </c>
      <c r="L151" s="6" t="n">
        <v>1024</v>
      </c>
      <c r="M151" s="6" t="n">
        <f aca="false">IF(AND(ISNUMBER(K151),ISNUMBER(L151)),ROUND(K151/L151,2),"")</f>
        <v>1.5</v>
      </c>
      <c r="N151" s="9" t="s">
        <v>431</v>
      </c>
      <c r="O151" s="8" t="s">
        <v>6</v>
      </c>
      <c r="P151" s="9" t="s">
        <v>67</v>
      </c>
      <c r="Q151" s="7"/>
      <c r="R151" s="6" t="s">
        <v>432</v>
      </c>
    </row>
    <row r="152" customFormat="false" ht="15" hidden="false" customHeight="false" outlineLevel="0" collapsed="false">
      <c r="A152" s="6" t="n">
        <v>151</v>
      </c>
      <c r="B152" s="6" t="s">
        <v>15</v>
      </c>
      <c r="C152" s="10" t="s">
        <v>58</v>
      </c>
      <c r="D152" s="6" t="s">
        <v>51</v>
      </c>
      <c r="E152" s="6" t="s">
        <v>345</v>
      </c>
      <c r="F152" s="7" t="s">
        <v>433</v>
      </c>
      <c r="G152" s="6" t="s">
        <v>54</v>
      </c>
      <c r="H152" s="6" t="n">
        <v>404</v>
      </c>
      <c r="I152" s="6" t="n">
        <v>200</v>
      </c>
      <c r="J152" s="6"/>
      <c r="K152" s="6"/>
      <c r="L152" s="6"/>
      <c r="M152" s="6" t="str">
        <f aca="false">IF(AND(ISNUMBER(K152),ISNUMBER(L152)),ROUND(K152/L152,2),"")</f>
        <v/>
      </c>
      <c r="N152" s="9" t="s">
        <v>434</v>
      </c>
      <c r="O152" s="8" t="s">
        <v>6</v>
      </c>
      <c r="P152" s="7" t="s">
        <v>435</v>
      </c>
      <c r="Q152" s="7"/>
      <c r="R152" s="6" t="s">
        <v>436</v>
      </c>
    </row>
    <row r="153" customFormat="false" ht="15" hidden="false" customHeight="false" outlineLevel="0" collapsed="false">
      <c r="A153" s="6" t="n">
        <v>152</v>
      </c>
      <c r="B153" s="6" t="s">
        <v>15</v>
      </c>
      <c r="C153" s="10" t="s">
        <v>58</v>
      </c>
      <c r="D153" s="6" t="s">
        <v>51</v>
      </c>
      <c r="E153" s="6" t="s">
        <v>347</v>
      </c>
      <c r="F153" s="9" t="s">
        <v>437</v>
      </c>
      <c r="G153" s="6" t="s">
        <v>54</v>
      </c>
      <c r="H153" s="6" t="n">
        <v>200</v>
      </c>
      <c r="I153" s="6" t="n">
        <v>200</v>
      </c>
      <c r="J153" s="6" t="n">
        <v>19.2</v>
      </c>
      <c r="K153" s="6" t="n">
        <v>383</v>
      </c>
      <c r="L153" s="6" t="n">
        <v>327</v>
      </c>
      <c r="M153" s="6" t="n">
        <f aca="false">IF(AND(ISNUMBER(K153),ISNUMBER(L153)),ROUND(K153/L153,2),"")</f>
        <v>1.17</v>
      </c>
      <c r="N153" s="9" t="s">
        <v>438</v>
      </c>
      <c r="O153" s="8" t="s">
        <v>6</v>
      </c>
      <c r="P153" s="9" t="s">
        <v>67</v>
      </c>
      <c r="Q153" s="7"/>
      <c r="R153" s="6" t="s">
        <v>439</v>
      </c>
    </row>
    <row r="154" customFormat="false" ht="15" hidden="false" customHeight="false" outlineLevel="0" collapsed="false">
      <c r="A154" s="6" t="n">
        <v>153</v>
      </c>
      <c r="B154" s="6" t="s">
        <v>15</v>
      </c>
      <c r="C154" s="10" t="s">
        <v>58</v>
      </c>
      <c r="D154" s="6" t="s">
        <v>51</v>
      </c>
      <c r="E154" s="6" t="s">
        <v>352</v>
      </c>
      <c r="F154" s="7" t="s">
        <v>440</v>
      </c>
      <c r="G154" s="6" t="s">
        <v>54</v>
      </c>
      <c r="H154" s="6" t="n">
        <v>404</v>
      </c>
      <c r="I154" s="6" t="n">
        <v>200</v>
      </c>
      <c r="J154" s="6"/>
      <c r="K154" s="6"/>
      <c r="L154" s="6"/>
      <c r="M154" s="6" t="str">
        <f aca="false">IF(AND(ISNUMBER(K154),ISNUMBER(L154)),ROUND(K154/L154,2),"")</f>
        <v/>
      </c>
      <c r="N154" s="9" t="s">
        <v>441</v>
      </c>
      <c r="O154" s="8" t="s">
        <v>6</v>
      </c>
      <c r="P154" s="7" t="s">
        <v>435</v>
      </c>
      <c r="Q154" s="7"/>
      <c r="R154" s="6" t="s">
        <v>442</v>
      </c>
    </row>
    <row r="155" customFormat="false" ht="15" hidden="false" customHeight="false" outlineLevel="0" collapsed="false">
      <c r="A155" s="6" t="n">
        <v>154</v>
      </c>
      <c r="B155" s="6" t="s">
        <v>15</v>
      </c>
      <c r="C155" s="10" t="s">
        <v>58</v>
      </c>
      <c r="D155" s="6" t="s">
        <v>51</v>
      </c>
      <c r="E155" s="6" t="s">
        <v>443</v>
      </c>
      <c r="F155" s="7" t="s">
        <v>444</v>
      </c>
      <c r="G155" s="6" t="s">
        <v>54</v>
      </c>
      <c r="H155" s="6" t="n">
        <v>404</v>
      </c>
      <c r="I155" s="6" t="n">
        <v>200</v>
      </c>
      <c r="J155" s="6"/>
      <c r="K155" s="6"/>
      <c r="L155" s="6"/>
      <c r="M155" s="6" t="str">
        <f aca="false">IF(AND(ISNUMBER(K155),ISNUMBER(L155)),ROUND(K155/L155,2),"")</f>
        <v/>
      </c>
      <c r="N155" s="9" t="s">
        <v>445</v>
      </c>
      <c r="O155" s="8" t="s">
        <v>6</v>
      </c>
      <c r="P155" s="7" t="s">
        <v>435</v>
      </c>
      <c r="Q155" s="7"/>
      <c r="R155" s="6" t="s">
        <v>446</v>
      </c>
    </row>
    <row r="156" customFormat="false" ht="15" hidden="false" customHeight="false" outlineLevel="0" collapsed="false">
      <c r="A156" s="6" t="n">
        <v>155</v>
      </c>
      <c r="B156" s="6" t="s">
        <v>15</v>
      </c>
      <c r="C156" s="10" t="s">
        <v>58</v>
      </c>
      <c r="D156" s="6" t="s">
        <v>51</v>
      </c>
      <c r="E156" s="6" t="s">
        <v>447</v>
      </c>
      <c r="F156" s="7" t="s">
        <v>448</v>
      </c>
      <c r="G156" s="6" t="s">
        <v>54</v>
      </c>
      <c r="H156" s="6" t="n">
        <v>200</v>
      </c>
      <c r="I156" s="6" t="n">
        <v>200</v>
      </c>
      <c r="J156" s="6" t="n">
        <v>35.6</v>
      </c>
      <c r="K156" s="6" t="n">
        <v>893</v>
      </c>
      <c r="L156" s="6" t="n">
        <v>481</v>
      </c>
      <c r="M156" s="6" t="n">
        <f aca="false">IF(AND(ISNUMBER(K156),ISNUMBER(L156)),ROUND(K156/L156,2),"")</f>
        <v>1.86</v>
      </c>
      <c r="N156" s="9" t="s">
        <v>449</v>
      </c>
      <c r="O156" s="11" t="s">
        <v>5</v>
      </c>
      <c r="P156" s="7"/>
      <c r="Q156" s="7"/>
      <c r="R156" s="6" t="s">
        <v>450</v>
      </c>
    </row>
    <row r="157" customFormat="false" ht="29.85" hidden="false" customHeight="false" outlineLevel="0" collapsed="false">
      <c r="A157" s="6" t="n">
        <v>156</v>
      </c>
      <c r="B157" s="6" t="s">
        <v>15</v>
      </c>
      <c r="C157" s="10" t="s">
        <v>58</v>
      </c>
      <c r="D157" s="6" t="s">
        <v>51</v>
      </c>
      <c r="E157" s="6" t="s">
        <v>451</v>
      </c>
      <c r="F157" s="9" t="s">
        <v>452</v>
      </c>
      <c r="G157" s="6" t="s">
        <v>54</v>
      </c>
      <c r="H157" s="6" t="n">
        <v>404</v>
      </c>
      <c r="I157" s="6" t="n">
        <v>200</v>
      </c>
      <c r="J157" s="6"/>
      <c r="K157" s="6"/>
      <c r="L157" s="6"/>
      <c r="M157" s="6" t="str">
        <f aca="false">IF(AND(ISNUMBER(K157),ISNUMBER(L157)),ROUND(K157/L157,2),"")</f>
        <v/>
      </c>
      <c r="N157" s="9" t="s">
        <v>453</v>
      </c>
      <c r="O157" s="8" t="s">
        <v>6</v>
      </c>
      <c r="P157" s="7" t="s">
        <v>454</v>
      </c>
      <c r="Q157" s="7"/>
      <c r="R157" s="6" t="s">
        <v>455</v>
      </c>
    </row>
    <row r="158" customFormat="false" ht="29.85" hidden="false" customHeight="false" outlineLevel="0" collapsed="false">
      <c r="A158" s="6" t="n">
        <v>157</v>
      </c>
      <c r="B158" s="6" t="s">
        <v>15</v>
      </c>
      <c r="C158" s="10" t="s">
        <v>58</v>
      </c>
      <c r="D158" s="6" t="s">
        <v>51</v>
      </c>
      <c r="E158" s="6" t="s">
        <v>389</v>
      </c>
      <c r="F158" s="7" t="s">
        <v>456</v>
      </c>
      <c r="G158" s="6" t="s">
        <v>54</v>
      </c>
      <c r="H158" s="6" t="n">
        <v>404</v>
      </c>
      <c r="I158" s="6" t="n">
        <v>200</v>
      </c>
      <c r="J158" s="6"/>
      <c r="K158" s="6"/>
      <c r="L158" s="6"/>
      <c r="M158" s="6" t="str">
        <f aca="false">IF(AND(ISNUMBER(K158),ISNUMBER(L158)),ROUND(K158/L158,2),"")</f>
        <v/>
      </c>
      <c r="N158" s="9" t="s">
        <v>457</v>
      </c>
      <c r="O158" s="8" t="s">
        <v>6</v>
      </c>
      <c r="P158" s="7" t="s">
        <v>454</v>
      </c>
      <c r="Q158" s="7"/>
      <c r="R158" s="6" t="s">
        <v>458</v>
      </c>
    </row>
    <row r="159" customFormat="false" ht="29.85" hidden="false" customHeight="false" outlineLevel="0" collapsed="false">
      <c r="A159" s="6" t="n">
        <v>158</v>
      </c>
      <c r="B159" s="6" t="s">
        <v>15</v>
      </c>
      <c r="C159" s="10" t="s">
        <v>58</v>
      </c>
      <c r="D159" s="6" t="s">
        <v>51</v>
      </c>
      <c r="E159" s="6" t="s">
        <v>391</v>
      </c>
      <c r="F159" s="7" t="s">
        <v>459</v>
      </c>
      <c r="G159" s="6" t="s">
        <v>54</v>
      </c>
      <c r="H159" s="6" t="n">
        <v>404</v>
      </c>
      <c r="I159" s="6" t="n">
        <v>200</v>
      </c>
      <c r="J159" s="6"/>
      <c r="K159" s="6"/>
      <c r="L159" s="6"/>
      <c r="M159" s="6" t="str">
        <f aca="false">IF(AND(ISNUMBER(K159),ISNUMBER(L159)),ROUND(K159/L159,2),"")</f>
        <v/>
      </c>
      <c r="N159" s="9" t="s">
        <v>460</v>
      </c>
      <c r="O159" s="8" t="s">
        <v>6</v>
      </c>
      <c r="P159" s="7" t="s">
        <v>454</v>
      </c>
      <c r="Q159" s="7"/>
      <c r="R159" s="6" t="s">
        <v>461</v>
      </c>
    </row>
    <row r="160" customFormat="false" ht="15" hidden="false" customHeight="false" outlineLevel="0" collapsed="false">
      <c r="A160" s="6" t="n">
        <v>159</v>
      </c>
      <c r="B160" s="6" t="s">
        <v>15</v>
      </c>
      <c r="C160" s="10" t="s">
        <v>58</v>
      </c>
      <c r="D160" s="6" t="s">
        <v>51</v>
      </c>
      <c r="E160" s="6" t="s">
        <v>393</v>
      </c>
      <c r="F160" s="7" t="s">
        <v>462</v>
      </c>
      <c r="G160" s="6" t="s">
        <v>54</v>
      </c>
      <c r="H160" s="6" t="n">
        <v>404</v>
      </c>
      <c r="I160" s="6" t="n">
        <v>200</v>
      </c>
      <c r="J160" s="6"/>
      <c r="K160" s="6"/>
      <c r="L160" s="6"/>
      <c r="M160" s="6" t="str">
        <f aca="false">IF(AND(ISNUMBER(K160),ISNUMBER(L160)),ROUND(K160/L160,2),"")</f>
        <v/>
      </c>
      <c r="N160" s="9" t="s">
        <v>463</v>
      </c>
      <c r="O160" s="8" t="s">
        <v>6</v>
      </c>
      <c r="P160" s="7" t="s">
        <v>435</v>
      </c>
      <c r="Q160" s="7"/>
      <c r="R160" s="6" t="s">
        <v>464</v>
      </c>
    </row>
    <row r="161" customFormat="false" ht="15" hidden="false" customHeight="false" outlineLevel="0" collapsed="false">
      <c r="A161" s="6" t="n">
        <v>160</v>
      </c>
      <c r="B161" s="6" t="s">
        <v>15</v>
      </c>
      <c r="C161" s="10" t="s">
        <v>58</v>
      </c>
      <c r="D161" s="6" t="s">
        <v>51</v>
      </c>
      <c r="E161" s="6" t="s">
        <v>395</v>
      </c>
      <c r="F161" s="7" t="s">
        <v>465</v>
      </c>
      <c r="G161" s="6" t="s">
        <v>54</v>
      </c>
      <c r="H161" s="6" t="n">
        <v>200</v>
      </c>
      <c r="I161" s="6" t="n">
        <v>200</v>
      </c>
      <c r="J161" s="6" t="n">
        <v>150.2</v>
      </c>
      <c r="K161" s="6" t="n">
        <v>1915</v>
      </c>
      <c r="L161" s="6" t="n">
        <v>821</v>
      </c>
      <c r="M161" s="6" t="n">
        <f aca="false">IF(AND(ISNUMBER(K161),ISNUMBER(L161)),ROUND(K161/L161,2),"")</f>
        <v>2.33</v>
      </c>
      <c r="N161" s="9" t="s">
        <v>466</v>
      </c>
      <c r="O161" s="11" t="s">
        <v>5</v>
      </c>
      <c r="P161" s="7"/>
      <c r="Q161" s="7"/>
      <c r="R161" s="6" t="s">
        <v>467</v>
      </c>
    </row>
    <row r="162" customFormat="false" ht="15" hidden="false" customHeight="false" outlineLevel="0" collapsed="false">
      <c r="A162" s="6" t="n">
        <v>161</v>
      </c>
      <c r="B162" s="6" t="s">
        <v>15</v>
      </c>
      <c r="C162" s="10" t="s">
        <v>58</v>
      </c>
      <c r="D162" s="6" t="s">
        <v>51</v>
      </c>
      <c r="E162" s="6" t="s">
        <v>64</v>
      </c>
      <c r="F162" s="7" t="s">
        <v>167</v>
      </c>
      <c r="G162" s="6" t="s">
        <v>54</v>
      </c>
      <c r="H162" s="6" t="n">
        <v>200</v>
      </c>
      <c r="I162" s="6" t="n">
        <v>200</v>
      </c>
      <c r="J162" s="6" t="n">
        <v>150.2</v>
      </c>
      <c r="K162" s="6" t="n">
        <v>1915</v>
      </c>
      <c r="L162" s="6" t="n">
        <v>821</v>
      </c>
      <c r="M162" s="6" t="n">
        <f aca="false">IF(AND(ISNUMBER(K162),ISNUMBER(L162)),ROUND(K162/L162,2),"")</f>
        <v>2.33</v>
      </c>
      <c r="N162" s="9" t="s">
        <v>168</v>
      </c>
      <c r="O162" s="8" t="s">
        <v>6</v>
      </c>
      <c r="P162" s="9" t="s">
        <v>67</v>
      </c>
      <c r="Q162" s="7"/>
      <c r="R162" s="6" t="s">
        <v>169</v>
      </c>
    </row>
    <row r="163" customFormat="false" ht="15" hidden="false" customHeight="false" outlineLevel="0" collapsed="false">
      <c r="A163" s="6" t="n">
        <v>162</v>
      </c>
      <c r="B163" s="6" t="s">
        <v>15</v>
      </c>
      <c r="C163" s="6" t="s">
        <v>50</v>
      </c>
      <c r="D163" s="6" t="s">
        <v>51</v>
      </c>
      <c r="E163" s="6" t="s">
        <v>170</v>
      </c>
      <c r="F163" s="9" t="s">
        <v>171</v>
      </c>
      <c r="G163" s="6" t="s">
        <v>54</v>
      </c>
      <c r="H163" s="6" t="n">
        <v>200</v>
      </c>
      <c r="I163" s="6" t="n">
        <v>200</v>
      </c>
      <c r="J163" s="6" t="n">
        <v>51.5</v>
      </c>
      <c r="K163" s="6" t="n">
        <v>537</v>
      </c>
      <c r="L163" s="6" t="n">
        <v>403</v>
      </c>
      <c r="M163" s="6" t="n">
        <f aca="false">IF(AND(ISNUMBER(K163),ISNUMBER(L163)),ROUND(K163/L163,2),"")</f>
        <v>1.33</v>
      </c>
      <c r="N163" s="9" t="s">
        <v>172</v>
      </c>
      <c r="O163" s="11" t="s">
        <v>5</v>
      </c>
      <c r="P163" s="7"/>
      <c r="Q163" s="7"/>
      <c r="R163" s="6" t="s">
        <v>173</v>
      </c>
    </row>
    <row r="164" customFormat="false" ht="15" hidden="false" customHeight="false" outlineLevel="0" collapsed="false">
      <c r="A164" s="6" t="n">
        <v>163</v>
      </c>
      <c r="B164" s="6" t="s">
        <v>15</v>
      </c>
      <c r="C164" s="6" t="s">
        <v>50</v>
      </c>
      <c r="D164" s="6" t="s">
        <v>51</v>
      </c>
      <c r="E164" s="6" t="s">
        <v>174</v>
      </c>
      <c r="F164" s="7" t="s">
        <v>53</v>
      </c>
      <c r="G164" s="6" t="s">
        <v>54</v>
      </c>
      <c r="H164" s="6" t="n">
        <v>200</v>
      </c>
      <c r="I164" s="6" t="n">
        <v>200</v>
      </c>
      <c r="J164" s="6" t="n">
        <v>3.9</v>
      </c>
      <c r="K164" s="6" t="n">
        <v>442</v>
      </c>
      <c r="L164" s="6" t="n">
        <v>129</v>
      </c>
      <c r="M164" s="6" t="n">
        <f aca="false">IF(AND(ISNUMBER(K164),ISNUMBER(L164)),ROUND(K164/L164,2),"")</f>
        <v>3.43</v>
      </c>
      <c r="N164" s="7" t="s">
        <v>55</v>
      </c>
      <c r="O164" s="8" t="s">
        <v>6</v>
      </c>
      <c r="P164" s="9" t="s">
        <v>56</v>
      </c>
      <c r="Q164" s="7"/>
      <c r="R164" s="6" t="s">
        <v>57</v>
      </c>
    </row>
    <row r="165" customFormat="false" ht="15" hidden="false" customHeight="false" outlineLevel="0" collapsed="false">
      <c r="A165" s="6" t="n">
        <v>164</v>
      </c>
      <c r="B165" s="6" t="s">
        <v>15</v>
      </c>
      <c r="C165" s="6" t="s">
        <v>175</v>
      </c>
      <c r="D165" s="6" t="s">
        <v>176</v>
      </c>
      <c r="E165" s="6" t="s">
        <v>176</v>
      </c>
      <c r="F165" s="7" t="s">
        <v>408</v>
      </c>
      <c r="G165" s="6" t="s">
        <v>54</v>
      </c>
      <c r="H165" s="6" t="n">
        <v>200</v>
      </c>
      <c r="I165" s="6" t="s">
        <v>178</v>
      </c>
      <c r="J165" s="6" t="n">
        <v>4681.9</v>
      </c>
      <c r="K165" s="6" t="n">
        <v>4320</v>
      </c>
      <c r="L165" s="6" t="n">
        <v>1428</v>
      </c>
      <c r="M165" s="6" t="n">
        <f aca="false">IF(AND(ISNUMBER(K165),ISNUMBER(L165)),ROUND(K165/L165,2),"")</f>
        <v>3.03</v>
      </c>
      <c r="N165" s="7" t="s">
        <v>179</v>
      </c>
      <c r="O165" s="8" t="s">
        <v>6</v>
      </c>
      <c r="P165" s="9" t="s">
        <v>180</v>
      </c>
      <c r="Q165" s="7"/>
      <c r="R165" s="6" t="s">
        <v>409</v>
      </c>
    </row>
    <row r="166" customFormat="false" ht="15" hidden="false" customHeight="false" outlineLevel="0" collapsed="false">
      <c r="A166" s="6" t="n">
        <v>165</v>
      </c>
      <c r="B166" s="6" t="s">
        <v>16</v>
      </c>
      <c r="C166" s="6" t="s">
        <v>50</v>
      </c>
      <c r="D166" s="6" t="s">
        <v>51</v>
      </c>
      <c r="E166" s="6" t="s">
        <v>52</v>
      </c>
      <c r="F166" s="7" t="s">
        <v>53</v>
      </c>
      <c r="G166" s="6" t="s">
        <v>54</v>
      </c>
      <c r="H166" s="6" t="n">
        <v>200</v>
      </c>
      <c r="I166" s="6" t="n">
        <v>200</v>
      </c>
      <c r="J166" s="6" t="n">
        <v>3.9</v>
      </c>
      <c r="K166" s="6" t="n">
        <v>442</v>
      </c>
      <c r="L166" s="6" t="n">
        <v>129</v>
      </c>
      <c r="M166" s="6" t="n">
        <f aca="false">IF(AND(ISNUMBER(K166),ISNUMBER(L166)),ROUND(K166/L166,2),"")</f>
        <v>3.43</v>
      </c>
      <c r="N166" s="7" t="s">
        <v>55</v>
      </c>
      <c r="O166" s="8" t="s">
        <v>6</v>
      </c>
      <c r="P166" s="9" t="s">
        <v>56</v>
      </c>
      <c r="Q166" s="7"/>
      <c r="R166" s="6" t="s">
        <v>57</v>
      </c>
    </row>
    <row r="167" customFormat="false" ht="15" hidden="false" customHeight="false" outlineLevel="0" collapsed="false">
      <c r="A167" s="6" t="n">
        <v>166</v>
      </c>
      <c r="B167" s="6" t="s">
        <v>16</v>
      </c>
      <c r="C167" s="10" t="s">
        <v>58</v>
      </c>
      <c r="D167" s="6" t="s">
        <v>51</v>
      </c>
      <c r="E167" s="6" t="s">
        <v>182</v>
      </c>
      <c r="F167" s="7" t="s">
        <v>468</v>
      </c>
      <c r="G167" s="6" t="s">
        <v>54</v>
      </c>
      <c r="H167" s="6" t="n">
        <v>200</v>
      </c>
      <c r="I167" s="6" t="n">
        <v>200</v>
      </c>
      <c r="J167" s="6" t="n">
        <v>102.9</v>
      </c>
      <c r="K167" s="6" t="n">
        <v>1920</v>
      </c>
      <c r="L167" s="6" t="n">
        <v>658</v>
      </c>
      <c r="M167" s="6" t="n">
        <f aca="false">IF(AND(ISNUMBER(K167),ISNUMBER(L167)),ROUND(K167/L167,2),"")</f>
        <v>2.92</v>
      </c>
      <c r="N167" s="7" t="s">
        <v>240</v>
      </c>
      <c r="O167" s="8" t="s">
        <v>6</v>
      </c>
      <c r="P167" s="9" t="s">
        <v>469</v>
      </c>
      <c r="Q167" s="7"/>
      <c r="R167" s="6" t="s">
        <v>470</v>
      </c>
    </row>
    <row r="168" customFormat="false" ht="26.85" hidden="false" customHeight="false" outlineLevel="0" collapsed="false">
      <c r="A168" s="6" t="n">
        <v>167</v>
      </c>
      <c r="B168" s="6" t="s">
        <v>16</v>
      </c>
      <c r="C168" s="10" t="s">
        <v>58</v>
      </c>
      <c r="D168" s="6" t="s">
        <v>51</v>
      </c>
      <c r="E168" s="6" t="s">
        <v>64</v>
      </c>
      <c r="F168" s="9" t="s">
        <v>258</v>
      </c>
      <c r="G168" s="6" t="s">
        <v>54</v>
      </c>
      <c r="H168" s="6" t="n">
        <v>200</v>
      </c>
      <c r="I168" s="6" t="n">
        <v>200</v>
      </c>
      <c r="J168" s="6" t="n">
        <v>86.3</v>
      </c>
      <c r="K168" s="6" t="n">
        <v>1017</v>
      </c>
      <c r="L168" s="6" t="n">
        <v>764</v>
      </c>
      <c r="M168" s="6" t="n">
        <f aca="false">IF(AND(ISNUMBER(K168),ISNUMBER(L168)),ROUND(K168/L168,2),"")</f>
        <v>1.33</v>
      </c>
      <c r="N168" s="7" t="s">
        <v>471</v>
      </c>
      <c r="O168" s="11" t="s">
        <v>5</v>
      </c>
      <c r="P168" s="7"/>
      <c r="Q168" s="7"/>
      <c r="R168" s="6" t="s">
        <v>260</v>
      </c>
    </row>
    <row r="169" customFormat="false" ht="15" hidden="false" customHeight="false" outlineLevel="0" collapsed="false">
      <c r="A169" s="6" t="n">
        <v>168</v>
      </c>
      <c r="B169" s="6" t="s">
        <v>16</v>
      </c>
      <c r="C169" s="10" t="s">
        <v>58</v>
      </c>
      <c r="D169" s="6" t="s">
        <v>51</v>
      </c>
      <c r="E169" s="6" t="s">
        <v>64</v>
      </c>
      <c r="F169" s="9" t="s">
        <v>254</v>
      </c>
      <c r="G169" s="6" t="s">
        <v>54</v>
      </c>
      <c r="H169" s="6" t="n">
        <v>200</v>
      </c>
      <c r="I169" s="6" t="n">
        <v>200</v>
      </c>
      <c r="J169" s="6" t="n">
        <v>182.1</v>
      </c>
      <c r="K169" s="6" t="n">
        <v>1916</v>
      </c>
      <c r="L169" s="6" t="n">
        <v>821</v>
      </c>
      <c r="M169" s="6" t="n">
        <f aca="false">IF(AND(ISNUMBER(K169),ISNUMBER(L169)),ROUND(K169/L169,2),"")</f>
        <v>2.33</v>
      </c>
      <c r="N169" s="9" t="s">
        <v>472</v>
      </c>
      <c r="O169" s="11" t="s">
        <v>5</v>
      </c>
      <c r="P169" s="7"/>
      <c r="Q169" s="7"/>
      <c r="R169" s="6" t="s">
        <v>256</v>
      </c>
    </row>
    <row r="170" customFormat="false" ht="29.85" hidden="false" customHeight="false" outlineLevel="0" collapsed="false">
      <c r="A170" s="6" t="n">
        <v>169</v>
      </c>
      <c r="B170" s="6" t="s">
        <v>16</v>
      </c>
      <c r="C170" s="10" t="s">
        <v>58</v>
      </c>
      <c r="D170" s="6" t="s">
        <v>51</v>
      </c>
      <c r="E170" s="6" t="s">
        <v>64</v>
      </c>
      <c r="F170" s="9" t="s">
        <v>473</v>
      </c>
      <c r="G170" s="6" t="s">
        <v>54</v>
      </c>
      <c r="H170" s="6" t="n">
        <v>200</v>
      </c>
      <c r="I170" s="6" t="n">
        <v>200</v>
      </c>
      <c r="J170" s="6" t="n">
        <v>28.1</v>
      </c>
      <c r="K170" s="6" t="n">
        <v>501</v>
      </c>
      <c r="L170" s="6" t="n">
        <v>481</v>
      </c>
      <c r="M170" s="6" t="n">
        <f aca="false">IF(AND(ISNUMBER(K170),ISNUMBER(L170)),ROUND(K170/L170,2),"")</f>
        <v>1.04</v>
      </c>
      <c r="N170" s="9" t="s">
        <v>474</v>
      </c>
      <c r="O170" s="8" t="s">
        <v>6</v>
      </c>
      <c r="P170" s="9" t="s">
        <v>67</v>
      </c>
      <c r="Q170" s="7"/>
      <c r="R170" s="6" t="s">
        <v>475</v>
      </c>
    </row>
    <row r="171" customFormat="false" ht="15" hidden="false" customHeight="false" outlineLevel="0" collapsed="false">
      <c r="A171" s="6" t="n">
        <v>170</v>
      </c>
      <c r="B171" s="6" t="s">
        <v>16</v>
      </c>
      <c r="C171" s="10" t="s">
        <v>58</v>
      </c>
      <c r="D171" s="6" t="s">
        <v>51</v>
      </c>
      <c r="E171" s="6" t="s">
        <v>64</v>
      </c>
      <c r="F171" s="9" t="s">
        <v>476</v>
      </c>
      <c r="G171" s="6" t="s">
        <v>54</v>
      </c>
      <c r="H171" s="6" t="n">
        <v>200</v>
      </c>
      <c r="I171" s="6" t="n">
        <v>200</v>
      </c>
      <c r="J171" s="6" t="n">
        <v>164.3</v>
      </c>
      <c r="K171" s="6" t="n">
        <v>1536</v>
      </c>
      <c r="L171" s="6" t="n">
        <v>1024</v>
      </c>
      <c r="M171" s="6" t="n">
        <f aca="false">IF(AND(ISNUMBER(K171),ISNUMBER(L171)),ROUND(K171/L171,2),"")</f>
        <v>1.5</v>
      </c>
      <c r="N171" s="9" t="s">
        <v>477</v>
      </c>
      <c r="O171" s="8" t="s">
        <v>6</v>
      </c>
      <c r="P171" s="9" t="s">
        <v>67</v>
      </c>
      <c r="Q171" s="7"/>
      <c r="R171" s="6" t="s">
        <v>478</v>
      </c>
    </row>
    <row r="172" customFormat="false" ht="15" hidden="false" customHeight="false" outlineLevel="0" collapsed="false">
      <c r="A172" s="6" t="n">
        <v>171</v>
      </c>
      <c r="B172" s="6" t="s">
        <v>16</v>
      </c>
      <c r="C172" s="10" t="s">
        <v>58</v>
      </c>
      <c r="D172" s="6" t="s">
        <v>51</v>
      </c>
      <c r="E172" s="6" t="s">
        <v>64</v>
      </c>
      <c r="F172" s="7" t="s">
        <v>479</v>
      </c>
      <c r="G172" s="6" t="s">
        <v>54</v>
      </c>
      <c r="H172" s="6" t="n">
        <v>200</v>
      </c>
      <c r="I172" s="6" t="n">
        <v>200</v>
      </c>
      <c r="J172" s="6" t="n">
        <v>136.4</v>
      </c>
      <c r="K172" s="6" t="n">
        <v>1619</v>
      </c>
      <c r="L172" s="6" t="n">
        <v>972</v>
      </c>
      <c r="M172" s="6" t="n">
        <f aca="false">IF(AND(ISNUMBER(K172),ISNUMBER(L172)),ROUND(K172/L172,2),"")</f>
        <v>1.67</v>
      </c>
      <c r="N172" s="9" t="s">
        <v>480</v>
      </c>
      <c r="O172" s="11" t="s">
        <v>5</v>
      </c>
      <c r="P172" s="7"/>
      <c r="Q172" s="7"/>
      <c r="R172" s="6" t="s">
        <v>481</v>
      </c>
    </row>
    <row r="173" customFormat="false" ht="15" hidden="false" customHeight="false" outlineLevel="0" collapsed="false">
      <c r="A173" s="6" t="n">
        <v>172</v>
      </c>
      <c r="B173" s="6" t="s">
        <v>16</v>
      </c>
      <c r="C173" s="10" t="s">
        <v>58</v>
      </c>
      <c r="D173" s="6" t="s">
        <v>51</v>
      </c>
      <c r="E173" s="6" t="s">
        <v>482</v>
      </c>
      <c r="F173" s="7" t="s">
        <v>250</v>
      </c>
      <c r="G173" s="6" t="s">
        <v>54</v>
      </c>
      <c r="H173" s="6" t="n">
        <v>200</v>
      </c>
      <c r="I173" s="6" t="n">
        <v>200</v>
      </c>
      <c r="J173" s="6" t="n">
        <v>93.2</v>
      </c>
      <c r="K173" s="6" t="n">
        <v>1376</v>
      </c>
      <c r="L173" s="6" t="n">
        <v>768</v>
      </c>
      <c r="M173" s="6" t="n">
        <f aca="false">IF(AND(ISNUMBER(K173),ISNUMBER(L173)),ROUND(K173/L173,2),"")</f>
        <v>1.79</v>
      </c>
      <c r="N173" s="9" t="s">
        <v>483</v>
      </c>
      <c r="O173" s="8" t="s">
        <v>6</v>
      </c>
      <c r="P173" s="9" t="s">
        <v>67</v>
      </c>
      <c r="Q173" s="7"/>
      <c r="R173" s="6" t="s">
        <v>252</v>
      </c>
    </row>
    <row r="174" customFormat="false" ht="15" hidden="false" customHeight="false" outlineLevel="0" collapsed="false">
      <c r="A174" s="6" t="n">
        <v>173</v>
      </c>
      <c r="B174" s="6" t="s">
        <v>16</v>
      </c>
      <c r="C174" s="10" t="s">
        <v>58</v>
      </c>
      <c r="D174" s="6" t="s">
        <v>51</v>
      </c>
      <c r="E174" s="6" t="s">
        <v>484</v>
      </c>
      <c r="F174" s="7" t="s">
        <v>243</v>
      </c>
      <c r="G174" s="6" t="s">
        <v>54</v>
      </c>
      <c r="H174" s="6" t="n">
        <v>200</v>
      </c>
      <c r="I174" s="6" t="n">
        <v>200</v>
      </c>
      <c r="J174" s="6" t="n">
        <v>23.3</v>
      </c>
      <c r="K174" s="6" t="n">
        <v>756</v>
      </c>
      <c r="L174" s="6" t="n">
        <v>1049</v>
      </c>
      <c r="M174" s="6" t="n">
        <f aca="false">IF(AND(ISNUMBER(K174),ISNUMBER(L174)),ROUND(K174/L174,2),"")</f>
        <v>0.72</v>
      </c>
      <c r="N174" s="7" t="s">
        <v>485</v>
      </c>
      <c r="O174" s="8" t="s">
        <v>6</v>
      </c>
      <c r="P174" s="9" t="s">
        <v>245</v>
      </c>
      <c r="Q174" s="7"/>
      <c r="R174" s="6" t="s">
        <v>246</v>
      </c>
    </row>
    <row r="175" customFormat="false" ht="15" hidden="false" customHeight="false" outlineLevel="0" collapsed="false">
      <c r="A175" s="6" t="n">
        <v>174</v>
      </c>
      <c r="B175" s="6" t="s">
        <v>16</v>
      </c>
      <c r="C175" s="10" t="s">
        <v>58</v>
      </c>
      <c r="D175" s="6" t="s">
        <v>51</v>
      </c>
      <c r="E175" s="6" t="s">
        <v>486</v>
      </c>
      <c r="F175" s="9" t="s">
        <v>487</v>
      </c>
      <c r="G175" s="6" t="s">
        <v>54</v>
      </c>
      <c r="H175" s="6" t="n">
        <v>200</v>
      </c>
      <c r="I175" s="6" t="n">
        <v>200</v>
      </c>
      <c r="J175" s="6" t="n">
        <v>58</v>
      </c>
      <c r="K175" s="6" t="n">
        <v>1376</v>
      </c>
      <c r="L175" s="6" t="n">
        <v>768</v>
      </c>
      <c r="M175" s="6" t="n">
        <f aca="false">IF(AND(ISNUMBER(K175),ISNUMBER(L175)),ROUND(K175/L175,2),"")</f>
        <v>1.79</v>
      </c>
      <c r="N175" s="7" t="s">
        <v>488</v>
      </c>
      <c r="O175" s="11" t="s">
        <v>5</v>
      </c>
      <c r="P175" s="7"/>
      <c r="Q175" s="7"/>
      <c r="R175" s="6" t="s">
        <v>489</v>
      </c>
    </row>
    <row r="176" customFormat="false" ht="15" hidden="false" customHeight="false" outlineLevel="0" collapsed="false">
      <c r="A176" s="6" t="n">
        <v>175</v>
      </c>
      <c r="B176" s="6" t="s">
        <v>16</v>
      </c>
      <c r="C176" s="10" t="s">
        <v>58</v>
      </c>
      <c r="D176" s="6" t="s">
        <v>51</v>
      </c>
      <c r="E176" s="6" t="s">
        <v>490</v>
      </c>
      <c r="F176" s="9" t="s">
        <v>491</v>
      </c>
      <c r="G176" s="6" t="s">
        <v>54</v>
      </c>
      <c r="H176" s="6" t="n">
        <v>200</v>
      </c>
      <c r="I176" s="6" t="n">
        <v>200</v>
      </c>
      <c r="J176" s="6" t="n">
        <v>37.7</v>
      </c>
      <c r="K176" s="6" t="n">
        <v>894</v>
      </c>
      <c r="L176" s="6" t="n">
        <v>529</v>
      </c>
      <c r="M176" s="6" t="n">
        <f aca="false">IF(AND(ISNUMBER(K176),ISNUMBER(L176)),ROUND(K176/L176,2),"")</f>
        <v>1.69</v>
      </c>
      <c r="N176" s="9" t="s">
        <v>492</v>
      </c>
      <c r="O176" s="11" t="s">
        <v>5</v>
      </c>
      <c r="P176" s="7"/>
      <c r="Q176" s="7"/>
      <c r="R176" s="6" t="s">
        <v>493</v>
      </c>
    </row>
    <row r="177" customFormat="false" ht="15" hidden="false" customHeight="false" outlineLevel="0" collapsed="false">
      <c r="A177" s="6" t="n">
        <v>176</v>
      </c>
      <c r="B177" s="6" t="s">
        <v>16</v>
      </c>
      <c r="C177" s="10" t="s">
        <v>58</v>
      </c>
      <c r="D177" s="6" t="s">
        <v>51</v>
      </c>
      <c r="E177" s="6" t="s">
        <v>494</v>
      </c>
      <c r="F177" s="9" t="s">
        <v>495</v>
      </c>
      <c r="G177" s="6" t="s">
        <v>54</v>
      </c>
      <c r="H177" s="6" t="n">
        <v>200</v>
      </c>
      <c r="I177" s="6" t="n">
        <v>200</v>
      </c>
      <c r="J177" s="6" t="n">
        <v>48</v>
      </c>
      <c r="K177" s="6" t="n">
        <v>881</v>
      </c>
      <c r="L177" s="6" t="n">
        <v>496</v>
      </c>
      <c r="M177" s="6" t="n">
        <f aca="false">IF(AND(ISNUMBER(K177),ISNUMBER(L177)),ROUND(K177/L177,2),"")</f>
        <v>1.78</v>
      </c>
      <c r="N177" s="9" t="s">
        <v>496</v>
      </c>
      <c r="O177" s="11" t="s">
        <v>5</v>
      </c>
      <c r="P177" s="7"/>
      <c r="Q177" s="7"/>
      <c r="R177" s="6" t="s">
        <v>497</v>
      </c>
    </row>
    <row r="178" customFormat="false" ht="15" hidden="false" customHeight="false" outlineLevel="0" collapsed="false">
      <c r="A178" s="6" t="n">
        <v>177</v>
      </c>
      <c r="B178" s="6" t="s">
        <v>16</v>
      </c>
      <c r="C178" s="10" t="s">
        <v>58</v>
      </c>
      <c r="D178" s="6" t="s">
        <v>51</v>
      </c>
      <c r="E178" s="6" t="s">
        <v>64</v>
      </c>
      <c r="F178" s="9" t="s">
        <v>437</v>
      </c>
      <c r="G178" s="6" t="s">
        <v>54</v>
      </c>
      <c r="H178" s="6" t="n">
        <v>200</v>
      </c>
      <c r="I178" s="6" t="n">
        <v>200</v>
      </c>
      <c r="J178" s="6" t="n">
        <v>19.2</v>
      </c>
      <c r="K178" s="6" t="n">
        <v>383</v>
      </c>
      <c r="L178" s="6" t="n">
        <v>327</v>
      </c>
      <c r="M178" s="6" t="n">
        <f aca="false">IF(AND(ISNUMBER(K178),ISNUMBER(L178)),ROUND(K178/L178,2),"")</f>
        <v>1.17</v>
      </c>
      <c r="N178" s="9" t="s">
        <v>498</v>
      </c>
      <c r="O178" s="8" t="s">
        <v>6</v>
      </c>
      <c r="P178" s="9" t="s">
        <v>67</v>
      </c>
      <c r="Q178" s="7"/>
      <c r="R178" s="6" t="s">
        <v>439</v>
      </c>
    </row>
    <row r="179" customFormat="false" ht="15" hidden="false" customHeight="false" outlineLevel="0" collapsed="false">
      <c r="A179" s="6" t="n">
        <v>178</v>
      </c>
      <c r="B179" s="6" t="s">
        <v>16</v>
      </c>
      <c r="C179" s="10" t="s">
        <v>58</v>
      </c>
      <c r="D179" s="6" t="s">
        <v>51</v>
      </c>
      <c r="E179" s="6" t="s">
        <v>64</v>
      </c>
      <c r="F179" s="7" t="s">
        <v>322</v>
      </c>
      <c r="G179" s="6" t="s">
        <v>54</v>
      </c>
      <c r="H179" s="6" t="n">
        <v>200</v>
      </c>
      <c r="I179" s="6" t="n">
        <v>200</v>
      </c>
      <c r="J179" s="6" t="n">
        <v>338.4</v>
      </c>
      <c r="K179" s="6" t="n">
        <v>1630</v>
      </c>
      <c r="L179" s="6" t="n">
        <v>1920</v>
      </c>
      <c r="M179" s="6" t="n">
        <f aca="false">IF(AND(ISNUMBER(K179),ISNUMBER(L179)),ROUND(K179/L179,2),"")</f>
        <v>0.85</v>
      </c>
      <c r="N179" s="7" t="s">
        <v>499</v>
      </c>
      <c r="O179" s="8" t="s">
        <v>6</v>
      </c>
      <c r="P179" s="9" t="s">
        <v>324</v>
      </c>
      <c r="Q179" s="7"/>
      <c r="R179" s="6" t="s">
        <v>325</v>
      </c>
    </row>
    <row r="180" customFormat="false" ht="15" hidden="false" customHeight="false" outlineLevel="0" collapsed="false">
      <c r="A180" s="6" t="n">
        <v>179</v>
      </c>
      <c r="B180" s="6" t="s">
        <v>16</v>
      </c>
      <c r="C180" s="10" t="s">
        <v>58</v>
      </c>
      <c r="D180" s="6" t="s">
        <v>51</v>
      </c>
      <c r="E180" s="6" t="s">
        <v>64</v>
      </c>
      <c r="F180" s="9" t="s">
        <v>500</v>
      </c>
      <c r="G180" s="6" t="s">
        <v>54</v>
      </c>
      <c r="H180" s="6" t="n">
        <v>200</v>
      </c>
      <c r="I180" s="6" t="n">
        <v>200</v>
      </c>
      <c r="J180" s="6" t="n">
        <v>72.1</v>
      </c>
      <c r="K180" s="6" t="n">
        <v>1017</v>
      </c>
      <c r="L180" s="6" t="n">
        <v>763</v>
      </c>
      <c r="M180" s="6" t="n">
        <f aca="false">IF(AND(ISNUMBER(K180),ISNUMBER(L180)),ROUND(K180/L180,2),"")</f>
        <v>1.33</v>
      </c>
      <c r="N180" s="7" t="s">
        <v>501</v>
      </c>
      <c r="O180" s="11" t="s">
        <v>5</v>
      </c>
      <c r="P180" s="7"/>
      <c r="Q180" s="7"/>
      <c r="R180" s="6" t="s">
        <v>502</v>
      </c>
    </row>
    <row r="181" customFormat="false" ht="15" hidden="false" customHeight="false" outlineLevel="0" collapsed="false">
      <c r="A181" s="6" t="n">
        <v>180</v>
      </c>
      <c r="B181" s="6" t="s">
        <v>16</v>
      </c>
      <c r="C181" s="10" t="s">
        <v>58</v>
      </c>
      <c r="D181" s="6" t="s">
        <v>51</v>
      </c>
      <c r="E181" s="6" t="s">
        <v>64</v>
      </c>
      <c r="F181" s="9" t="s">
        <v>503</v>
      </c>
      <c r="G181" s="6" t="s">
        <v>54</v>
      </c>
      <c r="H181" s="6" t="n">
        <v>200</v>
      </c>
      <c r="I181" s="6" t="n">
        <v>200</v>
      </c>
      <c r="J181" s="6" t="n">
        <v>54.1</v>
      </c>
      <c r="K181" s="6" t="n">
        <v>939</v>
      </c>
      <c r="L181" s="6" t="n">
        <v>530</v>
      </c>
      <c r="M181" s="6" t="n">
        <f aca="false">IF(AND(ISNUMBER(K181),ISNUMBER(L181)),ROUND(K181/L181,2),"")</f>
        <v>1.77</v>
      </c>
      <c r="N181" s="9" t="s">
        <v>504</v>
      </c>
      <c r="O181" s="11" t="s">
        <v>5</v>
      </c>
      <c r="P181" s="7"/>
      <c r="Q181" s="7"/>
      <c r="R181" s="6" t="s">
        <v>505</v>
      </c>
    </row>
    <row r="182" customFormat="false" ht="15" hidden="false" customHeight="false" outlineLevel="0" collapsed="false">
      <c r="A182" s="6" t="n">
        <v>181</v>
      </c>
      <c r="B182" s="6" t="s">
        <v>16</v>
      </c>
      <c r="C182" s="10" t="s">
        <v>58</v>
      </c>
      <c r="D182" s="6" t="s">
        <v>51</v>
      </c>
      <c r="E182" s="6" t="s">
        <v>64</v>
      </c>
      <c r="F182" s="7" t="s">
        <v>506</v>
      </c>
      <c r="G182" s="6" t="s">
        <v>54</v>
      </c>
      <c r="H182" s="6" t="n">
        <v>200</v>
      </c>
      <c r="I182" s="6" t="n">
        <v>200</v>
      </c>
      <c r="J182" s="6" t="n">
        <v>227.2</v>
      </c>
      <c r="K182" s="6" t="n">
        <v>1920</v>
      </c>
      <c r="L182" s="6" t="n">
        <v>640</v>
      </c>
      <c r="M182" s="6" t="n">
        <f aca="false">IF(AND(ISNUMBER(K182),ISNUMBER(L182)),ROUND(K182/L182,2),"")</f>
        <v>3</v>
      </c>
      <c r="N182" s="9" t="s">
        <v>507</v>
      </c>
      <c r="O182" s="8" t="s">
        <v>6</v>
      </c>
      <c r="P182" s="9" t="s">
        <v>508</v>
      </c>
      <c r="Q182" s="7"/>
      <c r="R182" s="6" t="s">
        <v>509</v>
      </c>
    </row>
    <row r="183" customFormat="false" ht="58.2" hidden="false" customHeight="false" outlineLevel="0" collapsed="false">
      <c r="A183" s="6" t="n">
        <v>182</v>
      </c>
      <c r="B183" s="6" t="s">
        <v>16</v>
      </c>
      <c r="C183" s="10" t="s">
        <v>58</v>
      </c>
      <c r="D183" s="6" t="s">
        <v>51</v>
      </c>
      <c r="E183" s="6" t="s">
        <v>326</v>
      </c>
      <c r="F183" s="9" t="s">
        <v>110</v>
      </c>
      <c r="G183" s="6" t="s">
        <v>54</v>
      </c>
      <c r="H183" s="6" t="n">
        <v>200</v>
      </c>
      <c r="I183" s="6" t="n">
        <v>200</v>
      </c>
      <c r="J183" s="6" t="n">
        <v>159.7</v>
      </c>
      <c r="K183" s="6" t="n">
        <v>1672</v>
      </c>
      <c r="L183" s="6" t="n">
        <v>941</v>
      </c>
      <c r="M183" s="6" t="n">
        <f aca="false">IF(AND(ISNUMBER(K183),ISNUMBER(L183)),ROUND(K183/L183,2),"")</f>
        <v>1.78</v>
      </c>
      <c r="N183" s="9" t="s">
        <v>510</v>
      </c>
      <c r="O183" s="11" t="s">
        <v>5</v>
      </c>
      <c r="P183" s="7"/>
      <c r="Q183" s="7"/>
      <c r="R183" s="6" t="s">
        <v>112</v>
      </c>
    </row>
    <row r="184" customFormat="false" ht="29.85" hidden="false" customHeight="false" outlineLevel="0" collapsed="false">
      <c r="A184" s="6" t="n">
        <v>183</v>
      </c>
      <c r="B184" s="6" t="s">
        <v>16</v>
      </c>
      <c r="C184" s="10" t="s">
        <v>58</v>
      </c>
      <c r="D184" s="6" t="s">
        <v>51</v>
      </c>
      <c r="E184" s="6" t="s">
        <v>326</v>
      </c>
      <c r="F184" s="7" t="s">
        <v>511</v>
      </c>
      <c r="G184" s="6" t="s">
        <v>54</v>
      </c>
      <c r="H184" s="6" t="n">
        <v>200</v>
      </c>
      <c r="I184" s="6" t="n">
        <v>200</v>
      </c>
      <c r="J184" s="6" t="n">
        <v>95.5</v>
      </c>
      <c r="K184" s="6" t="n">
        <v>1206</v>
      </c>
      <c r="L184" s="6" t="n">
        <v>664</v>
      </c>
      <c r="M184" s="6" t="n">
        <f aca="false">IF(AND(ISNUMBER(K184),ISNUMBER(L184)),ROUND(K184/L184,2),"")</f>
        <v>1.82</v>
      </c>
      <c r="N184" s="9" t="s">
        <v>512</v>
      </c>
      <c r="O184" s="11" t="s">
        <v>5</v>
      </c>
      <c r="P184" s="7"/>
      <c r="Q184" s="7"/>
      <c r="R184" s="6" t="s">
        <v>513</v>
      </c>
    </row>
    <row r="185" customFormat="false" ht="15" hidden="false" customHeight="false" outlineLevel="0" collapsed="false">
      <c r="A185" s="6" t="n">
        <v>184</v>
      </c>
      <c r="B185" s="6" t="s">
        <v>16</v>
      </c>
      <c r="C185" s="10" t="s">
        <v>58</v>
      </c>
      <c r="D185" s="6" t="s">
        <v>51</v>
      </c>
      <c r="E185" s="6" t="s">
        <v>64</v>
      </c>
      <c r="F185" s="7" t="s">
        <v>167</v>
      </c>
      <c r="G185" s="6" t="s">
        <v>54</v>
      </c>
      <c r="H185" s="6" t="n">
        <v>200</v>
      </c>
      <c r="I185" s="6" t="n">
        <v>200</v>
      </c>
      <c r="J185" s="6" t="n">
        <v>150.2</v>
      </c>
      <c r="K185" s="6" t="n">
        <v>1915</v>
      </c>
      <c r="L185" s="6" t="n">
        <v>821</v>
      </c>
      <c r="M185" s="6" t="n">
        <f aca="false">IF(AND(ISNUMBER(K185),ISNUMBER(L185)),ROUND(K185/L185,2),"")</f>
        <v>2.33</v>
      </c>
      <c r="N185" s="9" t="s">
        <v>168</v>
      </c>
      <c r="O185" s="11" t="s">
        <v>5</v>
      </c>
      <c r="P185" s="7"/>
      <c r="Q185" s="7"/>
      <c r="R185" s="6" t="s">
        <v>169</v>
      </c>
    </row>
    <row r="186" customFormat="false" ht="15" hidden="false" customHeight="false" outlineLevel="0" collapsed="false">
      <c r="A186" s="6" t="n">
        <v>185</v>
      </c>
      <c r="B186" s="6" t="s">
        <v>16</v>
      </c>
      <c r="C186" s="6" t="s">
        <v>50</v>
      </c>
      <c r="D186" s="6" t="s">
        <v>51</v>
      </c>
      <c r="E186" s="6" t="s">
        <v>170</v>
      </c>
      <c r="F186" s="9" t="s">
        <v>171</v>
      </c>
      <c r="G186" s="6" t="s">
        <v>54</v>
      </c>
      <c r="H186" s="6" t="n">
        <v>200</v>
      </c>
      <c r="I186" s="6" t="n">
        <v>200</v>
      </c>
      <c r="J186" s="6" t="n">
        <v>51.5</v>
      </c>
      <c r="K186" s="6" t="n">
        <v>537</v>
      </c>
      <c r="L186" s="6" t="n">
        <v>403</v>
      </c>
      <c r="M186" s="6" t="n">
        <f aca="false">IF(AND(ISNUMBER(K186),ISNUMBER(L186)),ROUND(K186/L186,2),"")</f>
        <v>1.33</v>
      </c>
      <c r="N186" s="9" t="s">
        <v>172</v>
      </c>
      <c r="O186" s="11" t="s">
        <v>5</v>
      </c>
      <c r="P186" s="7"/>
      <c r="Q186" s="7"/>
      <c r="R186" s="6" t="s">
        <v>173</v>
      </c>
    </row>
    <row r="187" customFormat="false" ht="15" hidden="false" customHeight="false" outlineLevel="0" collapsed="false">
      <c r="A187" s="6" t="n">
        <v>186</v>
      </c>
      <c r="B187" s="6" t="s">
        <v>16</v>
      </c>
      <c r="C187" s="6" t="s">
        <v>50</v>
      </c>
      <c r="D187" s="6" t="s">
        <v>51</v>
      </c>
      <c r="E187" s="6" t="s">
        <v>174</v>
      </c>
      <c r="F187" s="7" t="s">
        <v>53</v>
      </c>
      <c r="G187" s="6" t="s">
        <v>54</v>
      </c>
      <c r="H187" s="6" t="n">
        <v>200</v>
      </c>
      <c r="I187" s="6" t="n">
        <v>200</v>
      </c>
      <c r="J187" s="6" t="n">
        <v>3.9</v>
      </c>
      <c r="K187" s="6" t="n">
        <v>442</v>
      </c>
      <c r="L187" s="6" t="n">
        <v>129</v>
      </c>
      <c r="M187" s="6" t="n">
        <f aca="false">IF(AND(ISNUMBER(K187),ISNUMBER(L187)),ROUND(K187/L187,2),"")</f>
        <v>3.43</v>
      </c>
      <c r="N187" s="7" t="s">
        <v>55</v>
      </c>
      <c r="O187" s="8" t="s">
        <v>6</v>
      </c>
      <c r="P187" s="9" t="s">
        <v>56</v>
      </c>
      <c r="Q187" s="7"/>
      <c r="R187" s="6" t="s">
        <v>57</v>
      </c>
    </row>
    <row r="188" customFormat="false" ht="15" hidden="false" customHeight="false" outlineLevel="0" collapsed="false">
      <c r="A188" s="6" t="n">
        <v>187</v>
      </c>
      <c r="B188" s="6" t="s">
        <v>16</v>
      </c>
      <c r="C188" s="6" t="s">
        <v>175</v>
      </c>
      <c r="D188" s="6" t="s">
        <v>176</v>
      </c>
      <c r="E188" s="6" t="s">
        <v>176</v>
      </c>
      <c r="F188" s="7" t="s">
        <v>514</v>
      </c>
      <c r="G188" s="6" t="s">
        <v>54</v>
      </c>
      <c r="H188" s="6" t="n">
        <v>200</v>
      </c>
      <c r="I188" s="6" t="s">
        <v>178</v>
      </c>
      <c r="J188" s="6" t="n">
        <v>1552</v>
      </c>
      <c r="K188" s="6" t="n">
        <v>2141</v>
      </c>
      <c r="L188" s="6" t="n">
        <v>734</v>
      </c>
      <c r="M188" s="6" t="n">
        <f aca="false">IF(AND(ISNUMBER(K188),ISNUMBER(L188)),ROUND(K188/L188,2),"")</f>
        <v>2.92</v>
      </c>
      <c r="N188" s="7" t="s">
        <v>179</v>
      </c>
      <c r="O188" s="8" t="s">
        <v>6</v>
      </c>
      <c r="P188" s="9" t="s">
        <v>180</v>
      </c>
      <c r="Q188" s="7"/>
      <c r="R188" s="6" t="s">
        <v>515</v>
      </c>
    </row>
    <row r="189" customFormat="false" ht="15" hidden="false" customHeight="false" outlineLevel="0" collapsed="false">
      <c r="A189" s="6" t="n">
        <v>188</v>
      </c>
      <c r="B189" s="6" t="s">
        <v>16</v>
      </c>
      <c r="C189" s="10" t="s">
        <v>58</v>
      </c>
      <c r="D189" s="6" t="s">
        <v>315</v>
      </c>
      <c r="E189" s="6" t="s">
        <v>316</v>
      </c>
      <c r="F189" s="7" t="s">
        <v>516</v>
      </c>
      <c r="G189" s="6" t="s">
        <v>54</v>
      </c>
      <c r="H189" s="6" t="n">
        <v>200</v>
      </c>
      <c r="I189" s="6" t="s">
        <v>178</v>
      </c>
      <c r="J189" s="6" t="n">
        <v>2816.8</v>
      </c>
      <c r="K189" s="6" t="n">
        <v>2172</v>
      </c>
      <c r="L189" s="6" t="n">
        <v>724</v>
      </c>
      <c r="M189" s="6" t="n">
        <f aca="false">IF(AND(ISNUMBER(K189),ISNUMBER(L189)),ROUND(K189/L189,2),"")</f>
        <v>3</v>
      </c>
      <c r="N189" s="7" t="s">
        <v>318</v>
      </c>
      <c r="O189" s="8" t="s">
        <v>6</v>
      </c>
      <c r="P189" s="9" t="s">
        <v>180</v>
      </c>
      <c r="Q189" s="7"/>
      <c r="R189" s="6" t="s">
        <v>517</v>
      </c>
    </row>
    <row r="190" customFormat="false" ht="15" hidden="false" customHeight="false" outlineLevel="0" collapsed="false">
      <c r="A190" s="6" t="n">
        <v>189</v>
      </c>
      <c r="B190" s="6" t="s">
        <v>17</v>
      </c>
      <c r="C190" s="6" t="s">
        <v>50</v>
      </c>
      <c r="D190" s="6" t="s">
        <v>51</v>
      </c>
      <c r="E190" s="6" t="s">
        <v>52</v>
      </c>
      <c r="F190" s="7" t="s">
        <v>53</v>
      </c>
      <c r="G190" s="6" t="s">
        <v>54</v>
      </c>
      <c r="H190" s="6" t="n">
        <v>200</v>
      </c>
      <c r="I190" s="6" t="n">
        <v>200</v>
      </c>
      <c r="J190" s="6" t="n">
        <v>3.9</v>
      </c>
      <c r="K190" s="6" t="n">
        <v>442</v>
      </c>
      <c r="L190" s="6" t="n">
        <v>129</v>
      </c>
      <c r="M190" s="6" t="n">
        <f aca="false">IF(AND(ISNUMBER(K190),ISNUMBER(L190)),ROUND(K190/L190,2),"")</f>
        <v>3.43</v>
      </c>
      <c r="N190" s="7" t="s">
        <v>55</v>
      </c>
      <c r="O190" s="8" t="s">
        <v>6</v>
      </c>
      <c r="P190" s="9" t="s">
        <v>56</v>
      </c>
      <c r="Q190" s="7"/>
      <c r="R190" s="6" t="s">
        <v>57</v>
      </c>
    </row>
    <row r="191" customFormat="false" ht="15" hidden="false" customHeight="false" outlineLevel="0" collapsed="false">
      <c r="A191" s="6" t="n">
        <v>190</v>
      </c>
      <c r="B191" s="6" t="s">
        <v>17</v>
      </c>
      <c r="C191" s="10" t="s">
        <v>58</v>
      </c>
      <c r="D191" s="6" t="s">
        <v>51</v>
      </c>
      <c r="E191" s="6" t="s">
        <v>182</v>
      </c>
      <c r="F191" s="9" t="s">
        <v>110</v>
      </c>
      <c r="G191" s="6" t="s">
        <v>54</v>
      </c>
      <c r="H191" s="6" t="n">
        <v>200</v>
      </c>
      <c r="I191" s="6" t="n">
        <v>200</v>
      </c>
      <c r="J191" s="6" t="n">
        <v>159.7</v>
      </c>
      <c r="K191" s="6" t="n">
        <v>1672</v>
      </c>
      <c r="L191" s="6" t="n">
        <v>941</v>
      </c>
      <c r="M191" s="6" t="n">
        <f aca="false">IF(AND(ISNUMBER(K191),ISNUMBER(L191)),ROUND(K191/L191,2),"")</f>
        <v>1.78</v>
      </c>
      <c r="N191" s="9" t="s">
        <v>301</v>
      </c>
      <c r="O191" s="11" t="s">
        <v>5</v>
      </c>
      <c r="P191" s="7"/>
      <c r="Q191" s="7"/>
      <c r="R191" s="6" t="s">
        <v>112</v>
      </c>
    </row>
    <row r="192" customFormat="false" ht="29.85" hidden="false" customHeight="false" outlineLevel="0" collapsed="false">
      <c r="A192" s="6" t="n">
        <v>191</v>
      </c>
      <c r="B192" s="6" t="s">
        <v>17</v>
      </c>
      <c r="C192" s="10" t="s">
        <v>58</v>
      </c>
      <c r="D192" s="6" t="s">
        <v>51</v>
      </c>
      <c r="E192" s="6" t="s">
        <v>410</v>
      </c>
      <c r="F192" s="7" t="s">
        <v>511</v>
      </c>
      <c r="G192" s="6" t="s">
        <v>54</v>
      </c>
      <c r="H192" s="6" t="n">
        <v>200</v>
      </c>
      <c r="I192" s="6" t="n">
        <v>200</v>
      </c>
      <c r="J192" s="6" t="n">
        <v>95.5</v>
      </c>
      <c r="K192" s="6" t="n">
        <v>1206</v>
      </c>
      <c r="L192" s="6" t="n">
        <v>664</v>
      </c>
      <c r="M192" s="6" t="n">
        <f aca="false">IF(AND(ISNUMBER(K192),ISNUMBER(L192)),ROUND(K192/L192,2),"")</f>
        <v>1.82</v>
      </c>
      <c r="N192" s="9" t="s">
        <v>512</v>
      </c>
      <c r="O192" s="11" t="s">
        <v>5</v>
      </c>
      <c r="P192" s="7"/>
      <c r="Q192" s="7"/>
      <c r="R192" s="6" t="s">
        <v>513</v>
      </c>
    </row>
    <row r="193" customFormat="false" ht="15" hidden="false" customHeight="false" outlineLevel="0" collapsed="false">
      <c r="A193" s="6" t="n">
        <v>192</v>
      </c>
      <c r="B193" s="6" t="s">
        <v>17</v>
      </c>
      <c r="C193" s="10" t="s">
        <v>58</v>
      </c>
      <c r="D193" s="6" t="s">
        <v>51</v>
      </c>
      <c r="E193" s="6" t="s">
        <v>412</v>
      </c>
      <c r="F193" s="9" t="s">
        <v>518</v>
      </c>
      <c r="G193" s="6" t="s">
        <v>54</v>
      </c>
      <c r="H193" s="6" t="n">
        <v>200</v>
      </c>
      <c r="I193" s="6" t="n">
        <v>200</v>
      </c>
      <c r="J193" s="6" t="n">
        <v>564.7</v>
      </c>
      <c r="K193" s="6" t="n">
        <v>3840</v>
      </c>
      <c r="L193" s="6" t="n">
        <v>2161</v>
      </c>
      <c r="M193" s="6" t="n">
        <f aca="false">IF(AND(ISNUMBER(K193),ISNUMBER(L193)),ROUND(K193/L193,2),"")</f>
        <v>1.78</v>
      </c>
      <c r="N193" s="9" t="s">
        <v>519</v>
      </c>
      <c r="O193" s="8" t="s">
        <v>6</v>
      </c>
      <c r="P193" s="9" t="s">
        <v>180</v>
      </c>
      <c r="Q193" s="7"/>
      <c r="R193" s="6" t="s">
        <v>520</v>
      </c>
    </row>
    <row r="194" customFormat="false" ht="15" hidden="false" customHeight="false" outlineLevel="0" collapsed="false">
      <c r="A194" s="6" t="n">
        <v>193</v>
      </c>
      <c r="B194" s="6" t="s">
        <v>17</v>
      </c>
      <c r="C194" s="10" t="s">
        <v>58</v>
      </c>
      <c r="D194" s="6" t="s">
        <v>51</v>
      </c>
      <c r="E194" s="6" t="s">
        <v>416</v>
      </c>
      <c r="F194" s="7" t="s">
        <v>521</v>
      </c>
      <c r="G194" s="6" t="s">
        <v>54</v>
      </c>
      <c r="H194" s="6" t="n">
        <v>200</v>
      </c>
      <c r="I194" s="6" t="n">
        <v>200</v>
      </c>
      <c r="J194" s="6" t="n">
        <v>33.1</v>
      </c>
      <c r="K194" s="6" t="n">
        <v>570</v>
      </c>
      <c r="L194" s="6" t="n">
        <v>760</v>
      </c>
      <c r="M194" s="6" t="n">
        <f aca="false">IF(AND(ISNUMBER(K194),ISNUMBER(L194)),ROUND(K194/L194,2),"")</f>
        <v>0.75</v>
      </c>
      <c r="N194" s="9" t="s">
        <v>522</v>
      </c>
      <c r="O194" s="8" t="s">
        <v>6</v>
      </c>
      <c r="P194" s="9" t="s">
        <v>523</v>
      </c>
      <c r="Q194" s="7"/>
      <c r="R194" s="6" t="s">
        <v>524</v>
      </c>
    </row>
    <row r="195" customFormat="false" ht="15" hidden="false" customHeight="false" outlineLevel="0" collapsed="false">
      <c r="A195" s="6" t="n">
        <v>194</v>
      </c>
      <c r="B195" s="6" t="s">
        <v>17</v>
      </c>
      <c r="C195" s="10" t="s">
        <v>58</v>
      </c>
      <c r="D195" s="6" t="s">
        <v>51</v>
      </c>
      <c r="E195" s="6" t="s">
        <v>416</v>
      </c>
      <c r="F195" s="7" t="s">
        <v>525</v>
      </c>
      <c r="G195" s="6" t="s">
        <v>54</v>
      </c>
      <c r="H195" s="6" t="n">
        <v>200</v>
      </c>
      <c r="I195" s="6" t="n">
        <v>200</v>
      </c>
      <c r="J195" s="6" t="n">
        <v>12</v>
      </c>
      <c r="K195" s="6" t="n">
        <v>450</v>
      </c>
      <c r="L195" s="6" t="n">
        <v>260</v>
      </c>
      <c r="M195" s="6" t="n">
        <f aca="false">IF(AND(ISNUMBER(K195),ISNUMBER(L195)),ROUND(K195/L195,2),"")</f>
        <v>1.73</v>
      </c>
      <c r="N195" s="7" t="s">
        <v>526</v>
      </c>
      <c r="O195" s="8" t="s">
        <v>6</v>
      </c>
      <c r="P195" s="9" t="s">
        <v>67</v>
      </c>
      <c r="Q195" s="7"/>
      <c r="R195" s="6" t="s">
        <v>527</v>
      </c>
    </row>
    <row r="196" customFormat="false" ht="29.85" hidden="false" customHeight="false" outlineLevel="0" collapsed="false">
      <c r="A196" s="6" t="n">
        <v>195</v>
      </c>
      <c r="B196" s="6" t="s">
        <v>17</v>
      </c>
      <c r="C196" s="10" t="s">
        <v>58</v>
      </c>
      <c r="D196" s="6" t="s">
        <v>51</v>
      </c>
      <c r="E196" s="6" t="s">
        <v>416</v>
      </c>
      <c r="F196" s="7" t="s">
        <v>528</v>
      </c>
      <c r="G196" s="6" t="s">
        <v>54</v>
      </c>
      <c r="H196" s="6" t="n">
        <v>200</v>
      </c>
      <c r="I196" s="6" t="n">
        <v>200</v>
      </c>
      <c r="J196" s="6" t="n">
        <v>101.8</v>
      </c>
      <c r="K196" s="6" t="n">
        <v>880</v>
      </c>
      <c r="L196" s="6" t="n">
        <v>1070</v>
      </c>
      <c r="M196" s="6" t="n">
        <f aca="false">IF(AND(ISNUMBER(K196),ISNUMBER(L196)),ROUND(K196/L196,2),"")</f>
        <v>0.82</v>
      </c>
      <c r="N196" s="9" t="s">
        <v>529</v>
      </c>
      <c r="O196" s="8" t="s">
        <v>6</v>
      </c>
      <c r="P196" s="9" t="s">
        <v>530</v>
      </c>
      <c r="Q196" s="7"/>
      <c r="R196" s="6" t="s">
        <v>531</v>
      </c>
    </row>
    <row r="197" customFormat="false" ht="15" hidden="false" customHeight="false" outlineLevel="0" collapsed="false">
      <c r="A197" s="6" t="n">
        <v>196</v>
      </c>
      <c r="B197" s="6" t="s">
        <v>17</v>
      </c>
      <c r="C197" s="10" t="s">
        <v>58</v>
      </c>
      <c r="D197" s="6" t="s">
        <v>51</v>
      </c>
      <c r="E197" s="6" t="s">
        <v>312</v>
      </c>
      <c r="F197" s="7" t="s">
        <v>167</v>
      </c>
      <c r="G197" s="6" t="s">
        <v>54</v>
      </c>
      <c r="H197" s="6" t="n">
        <v>200</v>
      </c>
      <c r="I197" s="6" t="n">
        <v>200</v>
      </c>
      <c r="J197" s="6" t="n">
        <v>150.2</v>
      </c>
      <c r="K197" s="6" t="n">
        <v>1915</v>
      </c>
      <c r="L197" s="6" t="n">
        <v>821</v>
      </c>
      <c r="M197" s="6" t="n">
        <f aca="false">IF(AND(ISNUMBER(K197),ISNUMBER(L197)),ROUND(K197/L197,2),"")</f>
        <v>2.33</v>
      </c>
      <c r="N197" s="9" t="s">
        <v>168</v>
      </c>
      <c r="O197" s="8" t="s">
        <v>6</v>
      </c>
      <c r="P197" s="9" t="s">
        <v>67</v>
      </c>
      <c r="Q197" s="7"/>
      <c r="R197" s="6" t="s">
        <v>169</v>
      </c>
    </row>
    <row r="198" customFormat="false" ht="15" hidden="false" customHeight="false" outlineLevel="0" collapsed="false">
      <c r="A198" s="6" t="n">
        <v>197</v>
      </c>
      <c r="B198" s="6" t="s">
        <v>17</v>
      </c>
      <c r="C198" s="6" t="s">
        <v>50</v>
      </c>
      <c r="D198" s="6" t="s">
        <v>51</v>
      </c>
      <c r="E198" s="6" t="s">
        <v>170</v>
      </c>
      <c r="F198" s="9" t="s">
        <v>171</v>
      </c>
      <c r="G198" s="6" t="s">
        <v>54</v>
      </c>
      <c r="H198" s="6" t="n">
        <v>200</v>
      </c>
      <c r="I198" s="6" t="n">
        <v>200</v>
      </c>
      <c r="J198" s="6" t="n">
        <v>51.5</v>
      </c>
      <c r="K198" s="6" t="n">
        <v>537</v>
      </c>
      <c r="L198" s="6" t="n">
        <v>403</v>
      </c>
      <c r="M198" s="6" t="n">
        <f aca="false">IF(AND(ISNUMBER(K198),ISNUMBER(L198)),ROUND(K198/L198,2),"")</f>
        <v>1.33</v>
      </c>
      <c r="N198" s="9" t="s">
        <v>172</v>
      </c>
      <c r="O198" s="11" t="s">
        <v>5</v>
      </c>
      <c r="P198" s="7"/>
      <c r="Q198" s="7"/>
      <c r="R198" s="6" t="s">
        <v>173</v>
      </c>
    </row>
    <row r="199" customFormat="false" ht="15" hidden="false" customHeight="false" outlineLevel="0" collapsed="false">
      <c r="A199" s="6" t="n">
        <v>198</v>
      </c>
      <c r="B199" s="6" t="s">
        <v>17</v>
      </c>
      <c r="C199" s="6" t="s">
        <v>50</v>
      </c>
      <c r="D199" s="6" t="s">
        <v>51</v>
      </c>
      <c r="E199" s="6" t="s">
        <v>174</v>
      </c>
      <c r="F199" s="7" t="s">
        <v>53</v>
      </c>
      <c r="G199" s="6" t="s">
        <v>54</v>
      </c>
      <c r="H199" s="6" t="n">
        <v>200</v>
      </c>
      <c r="I199" s="6" t="n">
        <v>200</v>
      </c>
      <c r="J199" s="6" t="n">
        <v>3.9</v>
      </c>
      <c r="K199" s="6" t="n">
        <v>442</v>
      </c>
      <c r="L199" s="6" t="n">
        <v>129</v>
      </c>
      <c r="M199" s="6" t="n">
        <f aca="false">IF(AND(ISNUMBER(K199),ISNUMBER(L199)),ROUND(K199/L199,2),"")</f>
        <v>3.43</v>
      </c>
      <c r="N199" s="7" t="s">
        <v>55</v>
      </c>
      <c r="O199" s="8" t="s">
        <v>6</v>
      </c>
      <c r="P199" s="9" t="s">
        <v>56</v>
      </c>
      <c r="Q199" s="7"/>
      <c r="R199" s="6" t="s">
        <v>57</v>
      </c>
    </row>
    <row r="200" customFormat="false" ht="15" hidden="false" customHeight="false" outlineLevel="0" collapsed="false">
      <c r="A200" s="6" t="n">
        <v>199</v>
      </c>
      <c r="B200" s="6" t="s">
        <v>17</v>
      </c>
      <c r="C200" s="10" t="s">
        <v>58</v>
      </c>
      <c r="D200" s="6" t="s">
        <v>315</v>
      </c>
      <c r="E200" s="6" t="s">
        <v>316</v>
      </c>
      <c r="F200" s="7" t="s">
        <v>317</v>
      </c>
      <c r="G200" s="6" t="s">
        <v>54</v>
      </c>
      <c r="H200" s="6" t="n">
        <v>200</v>
      </c>
      <c r="I200" s="6" t="s">
        <v>178</v>
      </c>
      <c r="J200" s="6" t="n">
        <v>3199.9</v>
      </c>
      <c r="K200" s="6" t="n">
        <v>1983</v>
      </c>
      <c r="L200" s="6" t="n">
        <v>793</v>
      </c>
      <c r="M200" s="6" t="n">
        <f aca="false">IF(AND(ISNUMBER(K200),ISNUMBER(L200)),ROUND(K200/L200,2),"")</f>
        <v>2.5</v>
      </c>
      <c r="N200" s="7" t="s">
        <v>318</v>
      </c>
      <c r="O200" s="8" t="s">
        <v>6</v>
      </c>
      <c r="P200" s="9" t="s">
        <v>180</v>
      </c>
      <c r="Q200" s="7"/>
      <c r="R200" s="6" t="s">
        <v>319</v>
      </c>
    </row>
    <row r="201" customFormat="false" ht="15" hidden="false" customHeight="false" outlineLevel="0" collapsed="false">
      <c r="A201" s="6" t="n">
        <v>200</v>
      </c>
      <c r="B201" s="6" t="s">
        <v>18</v>
      </c>
      <c r="C201" s="6" t="s">
        <v>50</v>
      </c>
      <c r="D201" s="6" t="s">
        <v>51</v>
      </c>
      <c r="E201" s="6" t="s">
        <v>52</v>
      </c>
      <c r="F201" s="7" t="s">
        <v>53</v>
      </c>
      <c r="G201" s="6" t="s">
        <v>54</v>
      </c>
      <c r="H201" s="6" t="n">
        <v>200</v>
      </c>
      <c r="I201" s="6" t="n">
        <v>200</v>
      </c>
      <c r="J201" s="6" t="n">
        <v>3.9</v>
      </c>
      <c r="K201" s="6" t="n">
        <v>442</v>
      </c>
      <c r="L201" s="6" t="n">
        <v>129</v>
      </c>
      <c r="M201" s="6" t="n">
        <f aca="false">IF(AND(ISNUMBER(K201),ISNUMBER(L201)),ROUND(K201/L201,2),"")</f>
        <v>3.43</v>
      </c>
      <c r="N201" s="7" t="s">
        <v>55</v>
      </c>
      <c r="O201" s="8" t="s">
        <v>6</v>
      </c>
      <c r="P201" s="9" t="s">
        <v>56</v>
      </c>
      <c r="Q201" s="7"/>
      <c r="R201" s="6" t="s">
        <v>57</v>
      </c>
    </row>
    <row r="202" customFormat="false" ht="15" hidden="false" customHeight="false" outlineLevel="0" collapsed="false">
      <c r="A202" s="6" t="n">
        <v>201</v>
      </c>
      <c r="B202" s="6" t="s">
        <v>18</v>
      </c>
      <c r="C202" s="10" t="s">
        <v>58</v>
      </c>
      <c r="D202" s="6" t="s">
        <v>51</v>
      </c>
      <c r="E202" s="6" t="s">
        <v>182</v>
      </c>
      <c r="F202" s="9" t="s">
        <v>113</v>
      </c>
      <c r="G202" s="6" t="s">
        <v>54</v>
      </c>
      <c r="H202" s="6" t="n">
        <v>200</v>
      </c>
      <c r="I202" s="6" t="n">
        <v>200</v>
      </c>
      <c r="J202" s="6" t="n">
        <v>192.5</v>
      </c>
      <c r="K202" s="6" t="n">
        <v>1672</v>
      </c>
      <c r="L202" s="6" t="n">
        <v>941</v>
      </c>
      <c r="M202" s="6" t="n">
        <f aca="false">IF(AND(ISNUMBER(K202),ISNUMBER(L202)),ROUND(K202/L202,2),"")</f>
        <v>1.78</v>
      </c>
      <c r="N202" s="9" t="s">
        <v>532</v>
      </c>
      <c r="O202" s="8" t="s">
        <v>6</v>
      </c>
      <c r="P202" s="9" t="s">
        <v>350</v>
      </c>
      <c r="Q202" s="7"/>
      <c r="R202" s="6" t="s">
        <v>115</v>
      </c>
    </row>
    <row r="203" customFormat="false" ht="58.2" hidden="false" customHeight="false" outlineLevel="0" collapsed="false">
      <c r="A203" s="6" t="n">
        <v>202</v>
      </c>
      <c r="B203" s="6" t="s">
        <v>18</v>
      </c>
      <c r="C203" s="10" t="s">
        <v>58</v>
      </c>
      <c r="D203" s="6" t="s">
        <v>51</v>
      </c>
      <c r="E203" s="6" t="s">
        <v>326</v>
      </c>
      <c r="F203" s="9" t="s">
        <v>113</v>
      </c>
      <c r="G203" s="6" t="s">
        <v>54</v>
      </c>
      <c r="H203" s="6" t="n">
        <v>200</v>
      </c>
      <c r="I203" s="6" t="n">
        <v>200</v>
      </c>
      <c r="J203" s="6" t="n">
        <v>192.5</v>
      </c>
      <c r="K203" s="6" t="n">
        <v>1672</v>
      </c>
      <c r="L203" s="6" t="n">
        <v>941</v>
      </c>
      <c r="M203" s="6" t="n">
        <f aca="false">IF(AND(ISNUMBER(K203),ISNUMBER(L203)),ROUND(K203/L203,2),"")</f>
        <v>1.78</v>
      </c>
      <c r="N203" s="9" t="s">
        <v>533</v>
      </c>
      <c r="O203" s="8" t="s">
        <v>6</v>
      </c>
      <c r="P203" s="9" t="s">
        <v>350</v>
      </c>
      <c r="Q203" s="7"/>
      <c r="R203" s="6" t="s">
        <v>115</v>
      </c>
    </row>
    <row r="204" customFormat="false" ht="29.85" hidden="false" customHeight="false" outlineLevel="0" collapsed="false">
      <c r="A204" s="6" t="n">
        <v>203</v>
      </c>
      <c r="B204" s="6" t="s">
        <v>18</v>
      </c>
      <c r="C204" s="10" t="s">
        <v>58</v>
      </c>
      <c r="D204" s="6" t="s">
        <v>51</v>
      </c>
      <c r="E204" s="6" t="s">
        <v>326</v>
      </c>
      <c r="F204" s="7" t="s">
        <v>303</v>
      </c>
      <c r="G204" s="6" t="s">
        <v>54</v>
      </c>
      <c r="H204" s="6" t="n">
        <v>200</v>
      </c>
      <c r="I204" s="6" t="n">
        <v>200</v>
      </c>
      <c r="J204" s="6" t="n">
        <v>31.5</v>
      </c>
      <c r="K204" s="6" t="n">
        <v>627</v>
      </c>
      <c r="L204" s="6" t="n">
        <v>576</v>
      </c>
      <c r="M204" s="6" t="n">
        <f aca="false">IF(AND(ISNUMBER(K204),ISNUMBER(L204)),ROUND(K204/L204,2),"")</f>
        <v>1.09</v>
      </c>
      <c r="N204" s="9" t="s">
        <v>534</v>
      </c>
      <c r="O204" s="11" t="s">
        <v>5</v>
      </c>
      <c r="P204" s="7"/>
      <c r="Q204" s="7"/>
      <c r="R204" s="6" t="s">
        <v>305</v>
      </c>
    </row>
    <row r="205" customFormat="false" ht="72.35" hidden="false" customHeight="false" outlineLevel="0" collapsed="false">
      <c r="A205" s="6" t="n">
        <v>204</v>
      </c>
      <c r="B205" s="6" t="s">
        <v>18</v>
      </c>
      <c r="C205" s="10" t="s">
        <v>58</v>
      </c>
      <c r="D205" s="6" t="s">
        <v>51</v>
      </c>
      <c r="E205" s="6" t="s">
        <v>326</v>
      </c>
      <c r="F205" s="9" t="s">
        <v>120</v>
      </c>
      <c r="G205" s="6" t="s">
        <v>54</v>
      </c>
      <c r="H205" s="6" t="n">
        <v>200</v>
      </c>
      <c r="I205" s="6" t="n">
        <v>200</v>
      </c>
      <c r="J205" s="6" t="n">
        <v>187.1</v>
      </c>
      <c r="K205" s="6" t="n">
        <v>1672</v>
      </c>
      <c r="L205" s="6" t="n">
        <v>941</v>
      </c>
      <c r="M205" s="6" t="n">
        <f aca="false">IF(AND(ISNUMBER(K205),ISNUMBER(L205)),ROUND(K205/L205,2),"")</f>
        <v>1.78</v>
      </c>
      <c r="N205" s="9" t="s">
        <v>535</v>
      </c>
      <c r="O205" s="8" t="s">
        <v>6</v>
      </c>
      <c r="P205" s="9" t="s">
        <v>67</v>
      </c>
      <c r="Q205" s="7"/>
      <c r="R205" s="6" t="s">
        <v>122</v>
      </c>
    </row>
    <row r="206" customFormat="false" ht="15" hidden="false" customHeight="false" outlineLevel="0" collapsed="false">
      <c r="A206" s="6" t="n">
        <v>205</v>
      </c>
      <c r="B206" s="6" t="s">
        <v>18</v>
      </c>
      <c r="C206" s="10" t="s">
        <v>58</v>
      </c>
      <c r="D206" s="6" t="s">
        <v>51</v>
      </c>
      <c r="E206" s="6" t="s">
        <v>326</v>
      </c>
      <c r="F206" s="7" t="s">
        <v>307</v>
      </c>
      <c r="G206" s="6" t="s">
        <v>54</v>
      </c>
      <c r="H206" s="6" t="n">
        <v>200</v>
      </c>
      <c r="I206" s="6" t="n">
        <v>200</v>
      </c>
      <c r="J206" s="6" t="n">
        <v>10.4</v>
      </c>
      <c r="K206" s="6" t="n">
        <v>427</v>
      </c>
      <c r="L206" s="6" t="n">
        <v>610</v>
      </c>
      <c r="M206" s="6" t="n">
        <f aca="false">IF(AND(ISNUMBER(K206),ISNUMBER(L206)),ROUND(K206/L206,2),"")</f>
        <v>0.7</v>
      </c>
      <c r="N206" s="9" t="s">
        <v>308</v>
      </c>
      <c r="O206" s="8" t="s">
        <v>6</v>
      </c>
      <c r="P206" s="9" t="s">
        <v>309</v>
      </c>
      <c r="Q206" s="7"/>
      <c r="R206" s="6" t="s">
        <v>310</v>
      </c>
    </row>
    <row r="207" customFormat="false" ht="15" hidden="false" customHeight="false" outlineLevel="0" collapsed="false">
      <c r="A207" s="6" t="n">
        <v>206</v>
      </c>
      <c r="B207" s="6" t="s">
        <v>18</v>
      </c>
      <c r="C207" s="10" t="s">
        <v>58</v>
      </c>
      <c r="D207" s="6" t="s">
        <v>51</v>
      </c>
      <c r="E207" s="6" t="s">
        <v>64</v>
      </c>
      <c r="F207" s="7" t="s">
        <v>167</v>
      </c>
      <c r="G207" s="6" t="s">
        <v>54</v>
      </c>
      <c r="H207" s="6" t="n">
        <v>200</v>
      </c>
      <c r="I207" s="6" t="n">
        <v>200</v>
      </c>
      <c r="J207" s="6" t="n">
        <v>150.2</v>
      </c>
      <c r="K207" s="6" t="n">
        <v>1915</v>
      </c>
      <c r="L207" s="6" t="n">
        <v>821</v>
      </c>
      <c r="M207" s="6" t="n">
        <f aca="false">IF(AND(ISNUMBER(K207),ISNUMBER(L207)),ROUND(K207/L207,2),"")</f>
        <v>2.33</v>
      </c>
      <c r="N207" s="9" t="s">
        <v>168</v>
      </c>
      <c r="O207" s="8" t="s">
        <v>6</v>
      </c>
      <c r="P207" s="9" t="s">
        <v>67</v>
      </c>
      <c r="Q207" s="7"/>
      <c r="R207" s="6" t="s">
        <v>169</v>
      </c>
    </row>
    <row r="208" customFormat="false" ht="15" hidden="false" customHeight="false" outlineLevel="0" collapsed="false">
      <c r="A208" s="6" t="n">
        <v>207</v>
      </c>
      <c r="B208" s="6" t="s">
        <v>18</v>
      </c>
      <c r="C208" s="6" t="s">
        <v>50</v>
      </c>
      <c r="D208" s="6" t="s">
        <v>51</v>
      </c>
      <c r="E208" s="6" t="s">
        <v>170</v>
      </c>
      <c r="F208" s="9" t="s">
        <v>171</v>
      </c>
      <c r="G208" s="6" t="s">
        <v>54</v>
      </c>
      <c r="H208" s="6" t="n">
        <v>200</v>
      </c>
      <c r="I208" s="6" t="n">
        <v>200</v>
      </c>
      <c r="J208" s="6" t="n">
        <v>51.5</v>
      </c>
      <c r="K208" s="6" t="n">
        <v>537</v>
      </c>
      <c r="L208" s="6" t="n">
        <v>403</v>
      </c>
      <c r="M208" s="6" t="n">
        <f aca="false">IF(AND(ISNUMBER(K208),ISNUMBER(L208)),ROUND(K208/L208,2),"")</f>
        <v>1.33</v>
      </c>
      <c r="N208" s="9" t="s">
        <v>172</v>
      </c>
      <c r="O208" s="11" t="s">
        <v>5</v>
      </c>
      <c r="P208" s="7"/>
      <c r="Q208" s="7"/>
      <c r="R208" s="6" t="s">
        <v>173</v>
      </c>
    </row>
    <row r="209" customFormat="false" ht="15" hidden="false" customHeight="false" outlineLevel="0" collapsed="false">
      <c r="A209" s="6" t="n">
        <v>208</v>
      </c>
      <c r="B209" s="6" t="s">
        <v>18</v>
      </c>
      <c r="C209" s="6" t="s">
        <v>50</v>
      </c>
      <c r="D209" s="6" t="s">
        <v>51</v>
      </c>
      <c r="E209" s="6" t="s">
        <v>174</v>
      </c>
      <c r="F209" s="7" t="s">
        <v>53</v>
      </c>
      <c r="G209" s="6" t="s">
        <v>54</v>
      </c>
      <c r="H209" s="6" t="n">
        <v>200</v>
      </c>
      <c r="I209" s="6" t="n">
        <v>200</v>
      </c>
      <c r="J209" s="6" t="n">
        <v>3.9</v>
      </c>
      <c r="K209" s="6" t="n">
        <v>442</v>
      </c>
      <c r="L209" s="6" t="n">
        <v>129</v>
      </c>
      <c r="M209" s="6" t="n">
        <f aca="false">IF(AND(ISNUMBER(K209),ISNUMBER(L209)),ROUND(K209/L209,2),"")</f>
        <v>3.43</v>
      </c>
      <c r="N209" s="7" t="s">
        <v>55</v>
      </c>
      <c r="O209" s="8" t="s">
        <v>6</v>
      </c>
      <c r="P209" s="9" t="s">
        <v>56</v>
      </c>
      <c r="Q209" s="7"/>
      <c r="R209" s="6" t="s">
        <v>57</v>
      </c>
    </row>
    <row r="210" customFormat="false" ht="15" hidden="false" customHeight="false" outlineLevel="0" collapsed="false">
      <c r="A210" s="6" t="n">
        <v>209</v>
      </c>
      <c r="B210" s="6" t="s">
        <v>18</v>
      </c>
      <c r="C210" s="6" t="s">
        <v>175</v>
      </c>
      <c r="D210" s="6" t="s">
        <v>176</v>
      </c>
      <c r="E210" s="6" t="s">
        <v>176</v>
      </c>
      <c r="F210" s="7" t="s">
        <v>514</v>
      </c>
      <c r="G210" s="6" t="s">
        <v>54</v>
      </c>
      <c r="H210" s="6" t="n">
        <v>200</v>
      </c>
      <c r="I210" s="6" t="s">
        <v>178</v>
      </c>
      <c r="J210" s="6" t="n">
        <v>1552</v>
      </c>
      <c r="K210" s="6" t="n">
        <v>2141</v>
      </c>
      <c r="L210" s="6" t="n">
        <v>734</v>
      </c>
      <c r="M210" s="6" t="n">
        <f aca="false">IF(AND(ISNUMBER(K210),ISNUMBER(L210)),ROUND(K210/L210,2),"")</f>
        <v>2.92</v>
      </c>
      <c r="N210" s="7" t="s">
        <v>179</v>
      </c>
      <c r="O210" s="8" t="s">
        <v>6</v>
      </c>
      <c r="P210" s="9" t="s">
        <v>180</v>
      </c>
      <c r="Q210" s="7"/>
      <c r="R210" s="6" t="s">
        <v>515</v>
      </c>
    </row>
    <row r="211" customFormat="false" ht="15" hidden="false" customHeight="false" outlineLevel="0" collapsed="false">
      <c r="A211" s="6" t="n">
        <v>210</v>
      </c>
      <c r="B211" s="6" t="s">
        <v>18</v>
      </c>
      <c r="C211" s="10" t="s">
        <v>58</v>
      </c>
      <c r="D211" s="6" t="s">
        <v>315</v>
      </c>
      <c r="E211" s="6" t="s">
        <v>316</v>
      </c>
      <c r="F211" s="7" t="s">
        <v>516</v>
      </c>
      <c r="G211" s="6" t="s">
        <v>54</v>
      </c>
      <c r="H211" s="6" t="n">
        <v>200</v>
      </c>
      <c r="I211" s="6" t="s">
        <v>178</v>
      </c>
      <c r="J211" s="6" t="n">
        <v>2816.8</v>
      </c>
      <c r="K211" s="6" t="n">
        <v>2172</v>
      </c>
      <c r="L211" s="6" t="n">
        <v>724</v>
      </c>
      <c r="M211" s="6" t="n">
        <f aca="false">IF(AND(ISNUMBER(K211),ISNUMBER(L211)),ROUND(K211/L211,2),"")</f>
        <v>3</v>
      </c>
      <c r="N211" s="7" t="s">
        <v>318</v>
      </c>
      <c r="O211" s="8" t="s">
        <v>6</v>
      </c>
      <c r="P211" s="9" t="s">
        <v>180</v>
      </c>
      <c r="Q211" s="7"/>
      <c r="R211" s="6" t="s">
        <v>517</v>
      </c>
    </row>
    <row r="212" customFormat="false" ht="15" hidden="false" customHeight="false" outlineLevel="0" collapsed="false">
      <c r="A212" s="6" t="n">
        <v>211</v>
      </c>
      <c r="B212" s="6" t="s">
        <v>19</v>
      </c>
      <c r="C212" s="6" t="s">
        <v>50</v>
      </c>
      <c r="D212" s="6" t="s">
        <v>51</v>
      </c>
      <c r="E212" s="6" t="s">
        <v>52</v>
      </c>
      <c r="F212" s="7" t="s">
        <v>53</v>
      </c>
      <c r="G212" s="6" t="s">
        <v>54</v>
      </c>
      <c r="H212" s="6" t="n">
        <v>200</v>
      </c>
      <c r="I212" s="6" t="n">
        <v>200</v>
      </c>
      <c r="J212" s="6" t="n">
        <v>3.9</v>
      </c>
      <c r="K212" s="6" t="n">
        <v>442</v>
      </c>
      <c r="L212" s="6" t="n">
        <v>129</v>
      </c>
      <c r="M212" s="6" t="n">
        <f aca="false">IF(AND(ISNUMBER(K212),ISNUMBER(L212)),ROUND(K212/L212,2),"")</f>
        <v>3.43</v>
      </c>
      <c r="N212" s="7" t="s">
        <v>55</v>
      </c>
      <c r="O212" s="8" t="s">
        <v>6</v>
      </c>
      <c r="P212" s="9" t="s">
        <v>56</v>
      </c>
      <c r="Q212" s="7"/>
      <c r="R212" s="6" t="s">
        <v>57</v>
      </c>
    </row>
    <row r="213" customFormat="false" ht="15" hidden="false" customHeight="false" outlineLevel="0" collapsed="false">
      <c r="A213" s="6" t="n">
        <v>212</v>
      </c>
      <c r="B213" s="6" t="s">
        <v>19</v>
      </c>
      <c r="C213" s="10" t="s">
        <v>58</v>
      </c>
      <c r="D213" s="6" t="s">
        <v>51</v>
      </c>
      <c r="E213" s="6" t="s">
        <v>182</v>
      </c>
      <c r="F213" s="9" t="s">
        <v>113</v>
      </c>
      <c r="G213" s="6" t="s">
        <v>54</v>
      </c>
      <c r="H213" s="6" t="n">
        <v>200</v>
      </c>
      <c r="I213" s="6" t="n">
        <v>200</v>
      </c>
      <c r="J213" s="6" t="n">
        <v>192.5</v>
      </c>
      <c r="K213" s="6" t="n">
        <v>1672</v>
      </c>
      <c r="L213" s="6" t="n">
        <v>941</v>
      </c>
      <c r="M213" s="6" t="n">
        <f aca="false">IF(AND(ISNUMBER(K213),ISNUMBER(L213)),ROUND(K213/L213,2),"")</f>
        <v>1.78</v>
      </c>
      <c r="N213" s="9" t="s">
        <v>231</v>
      </c>
      <c r="O213" s="11" t="s">
        <v>5</v>
      </c>
      <c r="P213" s="7"/>
      <c r="Q213" s="7"/>
      <c r="R213" s="6" t="s">
        <v>115</v>
      </c>
    </row>
    <row r="214" customFormat="false" ht="29.85" hidden="false" customHeight="false" outlineLevel="0" collapsed="false">
      <c r="A214" s="6" t="n">
        <v>213</v>
      </c>
      <c r="B214" s="6" t="s">
        <v>19</v>
      </c>
      <c r="C214" s="10" t="s">
        <v>58</v>
      </c>
      <c r="D214" s="6" t="s">
        <v>51</v>
      </c>
      <c r="E214" s="6" t="s">
        <v>410</v>
      </c>
      <c r="F214" s="7" t="s">
        <v>303</v>
      </c>
      <c r="G214" s="6" t="s">
        <v>54</v>
      </c>
      <c r="H214" s="6" t="n">
        <v>200</v>
      </c>
      <c r="I214" s="6" t="n">
        <v>200</v>
      </c>
      <c r="J214" s="6" t="n">
        <v>31.5</v>
      </c>
      <c r="K214" s="6" t="n">
        <v>627</v>
      </c>
      <c r="L214" s="6" t="n">
        <v>576</v>
      </c>
      <c r="M214" s="6" t="n">
        <f aca="false">IF(AND(ISNUMBER(K214),ISNUMBER(L214)),ROUND(K214/L214,2),"")</f>
        <v>1.09</v>
      </c>
      <c r="N214" s="9" t="s">
        <v>534</v>
      </c>
      <c r="O214" s="11" t="s">
        <v>5</v>
      </c>
      <c r="P214" s="7"/>
      <c r="Q214" s="7"/>
      <c r="R214" s="6" t="s">
        <v>305</v>
      </c>
    </row>
    <row r="215" customFormat="false" ht="15" hidden="false" customHeight="false" outlineLevel="0" collapsed="false">
      <c r="A215" s="6" t="n">
        <v>214</v>
      </c>
      <c r="B215" s="6" t="s">
        <v>19</v>
      </c>
      <c r="C215" s="10" t="s">
        <v>58</v>
      </c>
      <c r="D215" s="6" t="s">
        <v>51</v>
      </c>
      <c r="E215" s="6" t="s">
        <v>412</v>
      </c>
      <c r="F215" s="9" t="s">
        <v>536</v>
      </c>
      <c r="G215" s="6" t="s">
        <v>54</v>
      </c>
      <c r="H215" s="6" t="n">
        <v>200</v>
      </c>
      <c r="I215" s="6" t="n">
        <v>200</v>
      </c>
      <c r="J215" s="6" t="n">
        <v>621.1</v>
      </c>
      <c r="K215" s="6" t="n">
        <v>3840</v>
      </c>
      <c r="L215" s="6" t="n">
        <v>2161</v>
      </c>
      <c r="M215" s="6" t="n">
        <f aca="false">IF(AND(ISNUMBER(K215),ISNUMBER(L215)),ROUND(K215/L215,2),"")</f>
        <v>1.78</v>
      </c>
      <c r="N215" s="7" t="s">
        <v>537</v>
      </c>
      <c r="O215" s="8" t="s">
        <v>6</v>
      </c>
      <c r="P215" s="9" t="s">
        <v>180</v>
      </c>
      <c r="Q215" s="7"/>
      <c r="R215" s="6" t="s">
        <v>538</v>
      </c>
    </row>
    <row r="216" customFormat="false" ht="29.85" hidden="false" customHeight="false" outlineLevel="0" collapsed="false">
      <c r="A216" s="6" t="n">
        <v>215</v>
      </c>
      <c r="B216" s="6" t="s">
        <v>19</v>
      </c>
      <c r="C216" s="10" t="s">
        <v>58</v>
      </c>
      <c r="D216" s="6" t="s">
        <v>51</v>
      </c>
      <c r="E216" s="6" t="s">
        <v>416</v>
      </c>
      <c r="F216" s="7" t="s">
        <v>539</v>
      </c>
      <c r="G216" s="6" t="s">
        <v>54</v>
      </c>
      <c r="H216" s="6" t="n">
        <v>200</v>
      </c>
      <c r="I216" s="6" t="n">
        <v>200</v>
      </c>
      <c r="J216" s="6" t="n">
        <v>52.4</v>
      </c>
      <c r="K216" s="6" t="n">
        <v>620</v>
      </c>
      <c r="L216" s="6" t="n">
        <v>740</v>
      </c>
      <c r="M216" s="6" t="n">
        <f aca="false">IF(AND(ISNUMBER(K216),ISNUMBER(L216)),ROUND(K216/L216,2),"")</f>
        <v>0.84</v>
      </c>
      <c r="N216" s="9" t="s">
        <v>540</v>
      </c>
      <c r="O216" s="8" t="s">
        <v>6</v>
      </c>
      <c r="P216" s="9" t="s">
        <v>541</v>
      </c>
      <c r="Q216" s="7"/>
      <c r="R216" s="6" t="s">
        <v>542</v>
      </c>
    </row>
    <row r="217" customFormat="false" ht="29.85" hidden="false" customHeight="false" outlineLevel="0" collapsed="false">
      <c r="A217" s="6" t="n">
        <v>216</v>
      </c>
      <c r="B217" s="6" t="s">
        <v>19</v>
      </c>
      <c r="C217" s="10" t="s">
        <v>58</v>
      </c>
      <c r="D217" s="6" t="s">
        <v>51</v>
      </c>
      <c r="E217" s="6" t="s">
        <v>416</v>
      </c>
      <c r="F217" s="7" t="s">
        <v>543</v>
      </c>
      <c r="G217" s="6" t="s">
        <v>54</v>
      </c>
      <c r="H217" s="6" t="n">
        <v>200</v>
      </c>
      <c r="I217" s="6" t="n">
        <v>200</v>
      </c>
      <c r="J217" s="6" t="n">
        <v>46.2</v>
      </c>
      <c r="K217" s="6" t="n">
        <v>590</v>
      </c>
      <c r="L217" s="6" t="n">
        <v>740</v>
      </c>
      <c r="M217" s="6" t="n">
        <f aca="false">IF(AND(ISNUMBER(K217),ISNUMBER(L217)),ROUND(K217/L217,2),"")</f>
        <v>0.8</v>
      </c>
      <c r="N217" s="9" t="s">
        <v>544</v>
      </c>
      <c r="O217" s="8" t="s">
        <v>6</v>
      </c>
      <c r="P217" s="9" t="s">
        <v>545</v>
      </c>
      <c r="Q217" s="7"/>
      <c r="R217" s="6" t="s">
        <v>546</v>
      </c>
    </row>
    <row r="218" customFormat="false" ht="15" hidden="false" customHeight="false" outlineLevel="0" collapsed="false">
      <c r="A218" s="6" t="n">
        <v>217</v>
      </c>
      <c r="B218" s="6" t="s">
        <v>19</v>
      </c>
      <c r="C218" s="10" t="s">
        <v>58</v>
      </c>
      <c r="D218" s="6" t="s">
        <v>51</v>
      </c>
      <c r="E218" s="6" t="s">
        <v>416</v>
      </c>
      <c r="F218" s="7" t="s">
        <v>547</v>
      </c>
      <c r="G218" s="6" t="s">
        <v>54</v>
      </c>
      <c r="H218" s="6" t="n">
        <v>200</v>
      </c>
      <c r="I218" s="6" t="n">
        <v>200</v>
      </c>
      <c r="J218" s="6" t="n">
        <v>79.4</v>
      </c>
      <c r="K218" s="6" t="n">
        <v>1040</v>
      </c>
      <c r="L218" s="6" t="n">
        <v>900</v>
      </c>
      <c r="M218" s="6" t="n">
        <f aca="false">IF(AND(ISNUMBER(K218),ISNUMBER(L218)),ROUND(K218/L218,2),"")</f>
        <v>1.16</v>
      </c>
      <c r="N218" s="9" t="s">
        <v>548</v>
      </c>
      <c r="O218" s="8" t="s">
        <v>6</v>
      </c>
      <c r="P218" s="9" t="s">
        <v>67</v>
      </c>
      <c r="Q218" s="7"/>
      <c r="R218" s="6" t="s">
        <v>549</v>
      </c>
    </row>
    <row r="219" customFormat="false" ht="15" hidden="false" customHeight="false" outlineLevel="0" collapsed="false">
      <c r="A219" s="6" t="n">
        <v>218</v>
      </c>
      <c r="B219" s="6" t="s">
        <v>19</v>
      </c>
      <c r="C219" s="10" t="s">
        <v>58</v>
      </c>
      <c r="D219" s="6" t="s">
        <v>51</v>
      </c>
      <c r="E219" s="6" t="s">
        <v>312</v>
      </c>
      <c r="F219" s="7" t="s">
        <v>167</v>
      </c>
      <c r="G219" s="6" t="s">
        <v>54</v>
      </c>
      <c r="H219" s="6" t="n">
        <v>200</v>
      </c>
      <c r="I219" s="6" t="n">
        <v>200</v>
      </c>
      <c r="J219" s="6" t="n">
        <v>150.2</v>
      </c>
      <c r="K219" s="6" t="n">
        <v>1915</v>
      </c>
      <c r="L219" s="6" t="n">
        <v>821</v>
      </c>
      <c r="M219" s="6" t="n">
        <f aca="false">IF(AND(ISNUMBER(K219),ISNUMBER(L219)),ROUND(K219/L219,2),"")</f>
        <v>2.33</v>
      </c>
      <c r="N219" s="9" t="s">
        <v>168</v>
      </c>
      <c r="O219" s="8" t="s">
        <v>6</v>
      </c>
      <c r="P219" s="9" t="s">
        <v>67</v>
      </c>
      <c r="Q219" s="7"/>
      <c r="R219" s="6" t="s">
        <v>169</v>
      </c>
    </row>
    <row r="220" customFormat="false" ht="15" hidden="false" customHeight="false" outlineLevel="0" collapsed="false">
      <c r="A220" s="6" t="n">
        <v>219</v>
      </c>
      <c r="B220" s="6" t="s">
        <v>19</v>
      </c>
      <c r="C220" s="6" t="s">
        <v>50</v>
      </c>
      <c r="D220" s="6" t="s">
        <v>51</v>
      </c>
      <c r="E220" s="6" t="s">
        <v>170</v>
      </c>
      <c r="F220" s="9" t="s">
        <v>171</v>
      </c>
      <c r="G220" s="6" t="s">
        <v>54</v>
      </c>
      <c r="H220" s="6" t="n">
        <v>200</v>
      </c>
      <c r="I220" s="6" t="n">
        <v>200</v>
      </c>
      <c r="J220" s="6" t="n">
        <v>51.5</v>
      </c>
      <c r="K220" s="6" t="n">
        <v>537</v>
      </c>
      <c r="L220" s="6" t="n">
        <v>403</v>
      </c>
      <c r="M220" s="6" t="n">
        <f aca="false">IF(AND(ISNUMBER(K220),ISNUMBER(L220)),ROUND(K220/L220,2),"")</f>
        <v>1.33</v>
      </c>
      <c r="N220" s="9" t="s">
        <v>172</v>
      </c>
      <c r="O220" s="11" t="s">
        <v>5</v>
      </c>
      <c r="P220" s="7"/>
      <c r="Q220" s="7"/>
      <c r="R220" s="6" t="s">
        <v>173</v>
      </c>
    </row>
    <row r="221" customFormat="false" ht="15" hidden="false" customHeight="false" outlineLevel="0" collapsed="false">
      <c r="A221" s="6" t="n">
        <v>220</v>
      </c>
      <c r="B221" s="6" t="s">
        <v>19</v>
      </c>
      <c r="C221" s="6" t="s">
        <v>50</v>
      </c>
      <c r="D221" s="6" t="s">
        <v>51</v>
      </c>
      <c r="E221" s="6" t="s">
        <v>174</v>
      </c>
      <c r="F221" s="7" t="s">
        <v>53</v>
      </c>
      <c r="G221" s="6" t="s">
        <v>54</v>
      </c>
      <c r="H221" s="6" t="n">
        <v>200</v>
      </c>
      <c r="I221" s="6" t="n">
        <v>200</v>
      </c>
      <c r="J221" s="6" t="n">
        <v>3.9</v>
      </c>
      <c r="K221" s="6" t="n">
        <v>442</v>
      </c>
      <c r="L221" s="6" t="n">
        <v>129</v>
      </c>
      <c r="M221" s="6" t="n">
        <f aca="false">IF(AND(ISNUMBER(K221),ISNUMBER(L221)),ROUND(K221/L221,2),"")</f>
        <v>3.43</v>
      </c>
      <c r="N221" s="7" t="s">
        <v>55</v>
      </c>
      <c r="O221" s="8" t="s">
        <v>6</v>
      </c>
      <c r="P221" s="9" t="s">
        <v>56</v>
      </c>
      <c r="Q221" s="7"/>
      <c r="R221" s="6" t="s">
        <v>57</v>
      </c>
    </row>
    <row r="222" customFormat="false" ht="15" hidden="false" customHeight="false" outlineLevel="0" collapsed="false">
      <c r="A222" s="6" t="n">
        <v>221</v>
      </c>
      <c r="B222" s="6" t="s">
        <v>19</v>
      </c>
      <c r="C222" s="10" t="s">
        <v>58</v>
      </c>
      <c r="D222" s="6" t="s">
        <v>315</v>
      </c>
      <c r="E222" s="6" t="s">
        <v>316</v>
      </c>
      <c r="F222" s="7" t="s">
        <v>317</v>
      </c>
      <c r="G222" s="6" t="s">
        <v>54</v>
      </c>
      <c r="H222" s="6" t="n">
        <v>200</v>
      </c>
      <c r="I222" s="6" t="s">
        <v>178</v>
      </c>
      <c r="J222" s="6" t="n">
        <v>3199.9</v>
      </c>
      <c r="K222" s="6" t="n">
        <v>1983</v>
      </c>
      <c r="L222" s="6" t="n">
        <v>793</v>
      </c>
      <c r="M222" s="6" t="n">
        <f aca="false">IF(AND(ISNUMBER(K222),ISNUMBER(L222)),ROUND(K222/L222,2),"")</f>
        <v>2.5</v>
      </c>
      <c r="N222" s="7" t="s">
        <v>318</v>
      </c>
      <c r="O222" s="8" t="s">
        <v>6</v>
      </c>
      <c r="P222" s="9" t="s">
        <v>180</v>
      </c>
      <c r="Q222" s="7"/>
      <c r="R222" s="6" t="s">
        <v>319</v>
      </c>
    </row>
    <row r="223" customFormat="false" ht="15" hidden="false" customHeight="false" outlineLevel="0" collapsed="false">
      <c r="A223" s="6" t="n">
        <v>222</v>
      </c>
      <c r="B223" s="6" t="s">
        <v>20</v>
      </c>
      <c r="C223" s="6" t="s">
        <v>50</v>
      </c>
      <c r="D223" s="6" t="s">
        <v>51</v>
      </c>
      <c r="E223" s="6" t="s">
        <v>52</v>
      </c>
      <c r="F223" s="7" t="s">
        <v>53</v>
      </c>
      <c r="G223" s="6" t="s">
        <v>54</v>
      </c>
      <c r="H223" s="6" t="n">
        <v>200</v>
      </c>
      <c r="I223" s="6" t="n">
        <v>200</v>
      </c>
      <c r="J223" s="6" t="n">
        <v>3.9</v>
      </c>
      <c r="K223" s="6" t="n">
        <v>442</v>
      </c>
      <c r="L223" s="6" t="n">
        <v>129</v>
      </c>
      <c r="M223" s="6" t="n">
        <f aca="false">IF(AND(ISNUMBER(K223),ISNUMBER(L223)),ROUND(K223/L223,2),"")</f>
        <v>3.43</v>
      </c>
      <c r="N223" s="7" t="s">
        <v>55</v>
      </c>
      <c r="O223" s="8" t="s">
        <v>6</v>
      </c>
      <c r="P223" s="9" t="s">
        <v>56</v>
      </c>
      <c r="Q223" s="7"/>
      <c r="R223" s="6" t="s">
        <v>57</v>
      </c>
    </row>
    <row r="224" customFormat="false" ht="15" hidden="false" customHeight="false" outlineLevel="0" collapsed="false">
      <c r="A224" s="6" t="n">
        <v>223</v>
      </c>
      <c r="B224" s="6" t="s">
        <v>20</v>
      </c>
      <c r="C224" s="10" t="s">
        <v>58</v>
      </c>
      <c r="D224" s="6" t="s">
        <v>51</v>
      </c>
      <c r="E224" s="6" t="s">
        <v>182</v>
      </c>
      <c r="F224" s="9" t="s">
        <v>120</v>
      </c>
      <c r="G224" s="6" t="s">
        <v>54</v>
      </c>
      <c r="H224" s="6" t="n">
        <v>200</v>
      </c>
      <c r="I224" s="6" t="n">
        <v>200</v>
      </c>
      <c r="J224" s="6" t="n">
        <v>187.1</v>
      </c>
      <c r="K224" s="6" t="n">
        <v>1672</v>
      </c>
      <c r="L224" s="6" t="n">
        <v>941</v>
      </c>
      <c r="M224" s="6" t="n">
        <f aca="false">IF(AND(ISNUMBER(K224),ISNUMBER(L224)),ROUND(K224/L224,2),"")</f>
        <v>1.78</v>
      </c>
      <c r="N224" s="9" t="s">
        <v>550</v>
      </c>
      <c r="O224" s="11" t="s">
        <v>5</v>
      </c>
      <c r="P224" s="7"/>
      <c r="Q224" s="7"/>
      <c r="R224" s="6" t="s">
        <v>122</v>
      </c>
    </row>
    <row r="225" customFormat="false" ht="15" hidden="false" customHeight="false" outlineLevel="0" collapsed="false">
      <c r="A225" s="6" t="n">
        <v>224</v>
      </c>
      <c r="B225" s="6" t="s">
        <v>20</v>
      </c>
      <c r="C225" s="10" t="s">
        <v>58</v>
      </c>
      <c r="D225" s="6" t="s">
        <v>51</v>
      </c>
      <c r="E225" s="6" t="s">
        <v>410</v>
      </c>
      <c r="F225" s="7" t="s">
        <v>307</v>
      </c>
      <c r="G225" s="6" t="s">
        <v>54</v>
      </c>
      <c r="H225" s="6" t="n">
        <v>200</v>
      </c>
      <c r="I225" s="6" t="n">
        <v>200</v>
      </c>
      <c r="J225" s="6" t="n">
        <v>10.4</v>
      </c>
      <c r="K225" s="6" t="n">
        <v>427</v>
      </c>
      <c r="L225" s="6" t="n">
        <v>610</v>
      </c>
      <c r="M225" s="6" t="n">
        <f aca="false">IF(AND(ISNUMBER(K225),ISNUMBER(L225)),ROUND(K225/L225,2),"")</f>
        <v>0.7</v>
      </c>
      <c r="N225" s="9" t="s">
        <v>308</v>
      </c>
      <c r="O225" s="8" t="s">
        <v>6</v>
      </c>
      <c r="P225" s="9" t="s">
        <v>309</v>
      </c>
      <c r="Q225" s="7"/>
      <c r="R225" s="6" t="s">
        <v>310</v>
      </c>
    </row>
    <row r="226" customFormat="false" ht="15" hidden="false" customHeight="false" outlineLevel="0" collapsed="false">
      <c r="A226" s="6" t="n">
        <v>225</v>
      </c>
      <c r="B226" s="6" t="s">
        <v>20</v>
      </c>
      <c r="C226" s="10" t="s">
        <v>58</v>
      </c>
      <c r="D226" s="6" t="s">
        <v>51</v>
      </c>
      <c r="E226" s="6" t="s">
        <v>412</v>
      </c>
      <c r="F226" s="9" t="s">
        <v>551</v>
      </c>
      <c r="G226" s="6" t="s">
        <v>54</v>
      </c>
      <c r="H226" s="6" t="n">
        <v>200</v>
      </c>
      <c r="I226" s="6" t="n">
        <v>200</v>
      </c>
      <c r="J226" s="6" t="n">
        <v>611.8</v>
      </c>
      <c r="K226" s="6" t="n">
        <v>3840</v>
      </c>
      <c r="L226" s="6" t="n">
        <v>2161</v>
      </c>
      <c r="M226" s="6" t="n">
        <f aca="false">IF(AND(ISNUMBER(K226),ISNUMBER(L226)),ROUND(K226/L226,2),"")</f>
        <v>1.78</v>
      </c>
      <c r="N226" s="9" t="s">
        <v>552</v>
      </c>
      <c r="O226" s="8" t="s">
        <v>6</v>
      </c>
      <c r="P226" s="9" t="s">
        <v>180</v>
      </c>
      <c r="Q226" s="7"/>
      <c r="R226" s="6" t="s">
        <v>553</v>
      </c>
    </row>
    <row r="227" customFormat="false" ht="15" hidden="false" customHeight="false" outlineLevel="0" collapsed="false">
      <c r="A227" s="6" t="n">
        <v>226</v>
      </c>
      <c r="B227" s="6" t="s">
        <v>20</v>
      </c>
      <c r="C227" s="10" t="s">
        <v>58</v>
      </c>
      <c r="D227" s="6" t="s">
        <v>51</v>
      </c>
      <c r="E227" s="6" t="s">
        <v>416</v>
      </c>
      <c r="F227" s="7" t="s">
        <v>554</v>
      </c>
      <c r="G227" s="6" t="s">
        <v>54</v>
      </c>
      <c r="H227" s="6" t="n">
        <v>200</v>
      </c>
      <c r="I227" s="6" t="n">
        <v>200</v>
      </c>
      <c r="J227" s="6" t="n">
        <v>17.1</v>
      </c>
      <c r="K227" s="6" t="n">
        <v>480</v>
      </c>
      <c r="L227" s="6" t="n">
        <v>680</v>
      </c>
      <c r="M227" s="6" t="n">
        <f aca="false">IF(AND(ISNUMBER(K227),ISNUMBER(L227)),ROUND(K227/L227,2),"")</f>
        <v>0.71</v>
      </c>
      <c r="N227" s="9" t="s">
        <v>555</v>
      </c>
      <c r="O227" s="8" t="s">
        <v>6</v>
      </c>
      <c r="P227" s="9" t="s">
        <v>98</v>
      </c>
      <c r="Q227" s="7"/>
      <c r="R227" s="6" t="s">
        <v>556</v>
      </c>
    </row>
    <row r="228" customFormat="false" ht="15" hidden="false" customHeight="false" outlineLevel="0" collapsed="false">
      <c r="A228" s="6" t="n">
        <v>227</v>
      </c>
      <c r="B228" s="6" t="s">
        <v>20</v>
      </c>
      <c r="C228" s="10" t="s">
        <v>58</v>
      </c>
      <c r="D228" s="6" t="s">
        <v>51</v>
      </c>
      <c r="E228" s="6" t="s">
        <v>416</v>
      </c>
      <c r="F228" s="7" t="s">
        <v>557</v>
      </c>
      <c r="G228" s="6" t="s">
        <v>54</v>
      </c>
      <c r="H228" s="6" t="n">
        <v>200</v>
      </c>
      <c r="I228" s="6" t="n">
        <v>200</v>
      </c>
      <c r="J228" s="6" t="n">
        <v>64.9</v>
      </c>
      <c r="K228" s="6" t="n">
        <v>700</v>
      </c>
      <c r="L228" s="6" t="n">
        <v>610</v>
      </c>
      <c r="M228" s="6" t="n">
        <f aca="false">IF(AND(ISNUMBER(K228),ISNUMBER(L228)),ROUND(K228/L228,2),"")</f>
        <v>1.15</v>
      </c>
      <c r="N228" s="9" t="s">
        <v>558</v>
      </c>
      <c r="O228" s="11" t="s">
        <v>5</v>
      </c>
      <c r="P228" s="7"/>
      <c r="Q228" s="7"/>
      <c r="R228" s="6" t="s">
        <v>559</v>
      </c>
    </row>
    <row r="229" customFormat="false" ht="15" hidden="false" customHeight="false" outlineLevel="0" collapsed="false">
      <c r="A229" s="6" t="n">
        <v>228</v>
      </c>
      <c r="B229" s="6" t="s">
        <v>20</v>
      </c>
      <c r="C229" s="10" t="s">
        <v>58</v>
      </c>
      <c r="D229" s="6" t="s">
        <v>51</v>
      </c>
      <c r="E229" s="6" t="s">
        <v>416</v>
      </c>
      <c r="F229" s="7" t="s">
        <v>560</v>
      </c>
      <c r="G229" s="6" t="s">
        <v>54</v>
      </c>
      <c r="H229" s="6" t="n">
        <v>200</v>
      </c>
      <c r="I229" s="6" t="n">
        <v>200</v>
      </c>
      <c r="J229" s="6" t="n">
        <v>32.4</v>
      </c>
      <c r="K229" s="6" t="n">
        <v>690</v>
      </c>
      <c r="L229" s="6" t="n">
        <v>490</v>
      </c>
      <c r="M229" s="6" t="n">
        <f aca="false">IF(AND(ISNUMBER(K229),ISNUMBER(L229)),ROUND(K229/L229,2),"")</f>
        <v>1.41</v>
      </c>
      <c r="N229" s="9" t="s">
        <v>548</v>
      </c>
      <c r="O229" s="11" t="s">
        <v>5</v>
      </c>
      <c r="P229" s="7"/>
      <c r="Q229" s="7"/>
      <c r="R229" s="6" t="s">
        <v>561</v>
      </c>
    </row>
    <row r="230" customFormat="false" ht="15" hidden="false" customHeight="false" outlineLevel="0" collapsed="false">
      <c r="A230" s="6" t="n">
        <v>229</v>
      </c>
      <c r="B230" s="6" t="s">
        <v>20</v>
      </c>
      <c r="C230" s="10" t="s">
        <v>58</v>
      </c>
      <c r="D230" s="6" t="s">
        <v>51</v>
      </c>
      <c r="E230" s="6" t="s">
        <v>312</v>
      </c>
      <c r="F230" s="7" t="s">
        <v>167</v>
      </c>
      <c r="G230" s="6" t="s">
        <v>54</v>
      </c>
      <c r="H230" s="6" t="n">
        <v>200</v>
      </c>
      <c r="I230" s="6" t="n">
        <v>200</v>
      </c>
      <c r="J230" s="6" t="n">
        <v>150.2</v>
      </c>
      <c r="K230" s="6" t="n">
        <v>1915</v>
      </c>
      <c r="L230" s="6" t="n">
        <v>821</v>
      </c>
      <c r="M230" s="6" t="n">
        <f aca="false">IF(AND(ISNUMBER(K230),ISNUMBER(L230)),ROUND(K230/L230,2),"")</f>
        <v>2.33</v>
      </c>
      <c r="N230" s="9" t="s">
        <v>168</v>
      </c>
      <c r="O230" s="8" t="s">
        <v>6</v>
      </c>
      <c r="P230" s="9" t="s">
        <v>67</v>
      </c>
      <c r="Q230" s="7"/>
      <c r="R230" s="6" t="s">
        <v>169</v>
      </c>
    </row>
    <row r="231" customFormat="false" ht="15" hidden="false" customHeight="false" outlineLevel="0" collapsed="false">
      <c r="A231" s="6" t="n">
        <v>230</v>
      </c>
      <c r="B231" s="6" t="s">
        <v>20</v>
      </c>
      <c r="C231" s="6" t="s">
        <v>50</v>
      </c>
      <c r="D231" s="6" t="s">
        <v>51</v>
      </c>
      <c r="E231" s="6" t="s">
        <v>170</v>
      </c>
      <c r="F231" s="9" t="s">
        <v>171</v>
      </c>
      <c r="G231" s="6" t="s">
        <v>54</v>
      </c>
      <c r="H231" s="6" t="n">
        <v>200</v>
      </c>
      <c r="I231" s="6" t="n">
        <v>200</v>
      </c>
      <c r="J231" s="6" t="n">
        <v>51.5</v>
      </c>
      <c r="K231" s="6" t="n">
        <v>537</v>
      </c>
      <c r="L231" s="6" t="n">
        <v>403</v>
      </c>
      <c r="M231" s="6" t="n">
        <f aca="false">IF(AND(ISNUMBER(K231),ISNUMBER(L231)),ROUND(K231/L231,2),"")</f>
        <v>1.33</v>
      </c>
      <c r="N231" s="9" t="s">
        <v>172</v>
      </c>
      <c r="O231" s="11" t="s">
        <v>5</v>
      </c>
      <c r="P231" s="7"/>
      <c r="Q231" s="7"/>
      <c r="R231" s="6" t="s">
        <v>173</v>
      </c>
    </row>
    <row r="232" customFormat="false" ht="15" hidden="false" customHeight="false" outlineLevel="0" collapsed="false">
      <c r="A232" s="6" t="n">
        <v>231</v>
      </c>
      <c r="B232" s="6" t="s">
        <v>20</v>
      </c>
      <c r="C232" s="6" t="s">
        <v>50</v>
      </c>
      <c r="D232" s="6" t="s">
        <v>51</v>
      </c>
      <c r="E232" s="6" t="s">
        <v>174</v>
      </c>
      <c r="F232" s="7" t="s">
        <v>53</v>
      </c>
      <c r="G232" s="6" t="s">
        <v>54</v>
      </c>
      <c r="H232" s="6" t="n">
        <v>200</v>
      </c>
      <c r="I232" s="6" t="n">
        <v>200</v>
      </c>
      <c r="J232" s="6" t="n">
        <v>3.9</v>
      </c>
      <c r="K232" s="6" t="n">
        <v>442</v>
      </c>
      <c r="L232" s="6" t="n">
        <v>129</v>
      </c>
      <c r="M232" s="6" t="n">
        <f aca="false">IF(AND(ISNUMBER(K232),ISNUMBER(L232)),ROUND(K232/L232,2),"")</f>
        <v>3.43</v>
      </c>
      <c r="N232" s="7" t="s">
        <v>55</v>
      </c>
      <c r="O232" s="8" t="s">
        <v>6</v>
      </c>
      <c r="P232" s="9" t="s">
        <v>56</v>
      </c>
      <c r="Q232" s="7"/>
      <c r="R232" s="6" t="s">
        <v>57</v>
      </c>
    </row>
    <row r="233" customFormat="false" ht="15" hidden="false" customHeight="false" outlineLevel="0" collapsed="false">
      <c r="A233" s="6" t="n">
        <v>232</v>
      </c>
      <c r="B233" s="6" t="s">
        <v>20</v>
      </c>
      <c r="C233" s="10" t="s">
        <v>58</v>
      </c>
      <c r="D233" s="6" t="s">
        <v>315</v>
      </c>
      <c r="E233" s="6" t="s">
        <v>316</v>
      </c>
      <c r="F233" s="7" t="s">
        <v>317</v>
      </c>
      <c r="G233" s="6" t="s">
        <v>54</v>
      </c>
      <c r="H233" s="6" t="n">
        <v>200</v>
      </c>
      <c r="I233" s="6" t="s">
        <v>178</v>
      </c>
      <c r="J233" s="6" t="n">
        <v>3199.9</v>
      </c>
      <c r="K233" s="6" t="n">
        <v>1983</v>
      </c>
      <c r="L233" s="6" t="n">
        <v>793</v>
      </c>
      <c r="M233" s="6" t="n">
        <f aca="false">IF(AND(ISNUMBER(K233),ISNUMBER(L233)),ROUND(K233/L233,2),"")</f>
        <v>2.5</v>
      </c>
      <c r="N233" s="7" t="s">
        <v>318</v>
      </c>
      <c r="O233" s="8" t="s">
        <v>6</v>
      </c>
      <c r="P233" s="9" t="s">
        <v>180</v>
      </c>
      <c r="Q233" s="7"/>
      <c r="R233" s="6" t="s">
        <v>319</v>
      </c>
    </row>
    <row r="234" customFormat="false" ht="15" hidden="false" customHeight="false" outlineLevel="0" collapsed="false">
      <c r="A234" s="6" t="n">
        <v>233</v>
      </c>
      <c r="B234" s="6" t="s">
        <v>21</v>
      </c>
      <c r="C234" s="6" t="s">
        <v>50</v>
      </c>
      <c r="D234" s="6" t="s">
        <v>51</v>
      </c>
      <c r="E234" s="6" t="s">
        <v>52</v>
      </c>
      <c r="F234" s="7" t="s">
        <v>53</v>
      </c>
      <c r="G234" s="6" t="s">
        <v>54</v>
      </c>
      <c r="H234" s="6" t="n">
        <v>200</v>
      </c>
      <c r="I234" s="6" t="n">
        <v>200</v>
      </c>
      <c r="J234" s="6" t="n">
        <v>3.9</v>
      </c>
      <c r="K234" s="6" t="n">
        <v>442</v>
      </c>
      <c r="L234" s="6" t="n">
        <v>129</v>
      </c>
      <c r="M234" s="6" t="n">
        <f aca="false">IF(AND(ISNUMBER(K234),ISNUMBER(L234)),ROUND(K234/L234,2),"")</f>
        <v>3.43</v>
      </c>
      <c r="N234" s="7" t="s">
        <v>55</v>
      </c>
      <c r="O234" s="8" t="s">
        <v>6</v>
      </c>
      <c r="P234" s="9" t="s">
        <v>56</v>
      </c>
      <c r="Q234" s="7"/>
      <c r="R234" s="6" t="s">
        <v>57</v>
      </c>
    </row>
    <row r="235" customFormat="false" ht="15" hidden="false" customHeight="false" outlineLevel="0" collapsed="false">
      <c r="A235" s="6" t="n">
        <v>234</v>
      </c>
      <c r="B235" s="6" t="s">
        <v>21</v>
      </c>
      <c r="C235" s="10" t="s">
        <v>58</v>
      </c>
      <c r="D235" s="6" t="s">
        <v>51</v>
      </c>
      <c r="E235" s="6" t="s">
        <v>562</v>
      </c>
      <c r="F235" s="9" t="s">
        <v>370</v>
      </c>
      <c r="G235" s="6" t="s">
        <v>54</v>
      </c>
      <c r="H235" s="6" t="n">
        <v>200</v>
      </c>
      <c r="I235" s="6" t="n">
        <v>200</v>
      </c>
      <c r="J235" s="6" t="n">
        <v>59.5</v>
      </c>
      <c r="K235" s="6" t="n">
        <v>1040</v>
      </c>
      <c r="L235" s="6" t="n">
        <v>632</v>
      </c>
      <c r="M235" s="6" t="n">
        <f aca="false">IF(AND(ISNUMBER(K235),ISNUMBER(L235)),ROUND(K235/L235,2),"")</f>
        <v>1.65</v>
      </c>
      <c r="N235" s="9" t="s">
        <v>563</v>
      </c>
      <c r="O235" s="8" t="s">
        <v>6</v>
      </c>
      <c r="P235" s="9" t="s">
        <v>67</v>
      </c>
      <c r="Q235" s="7"/>
      <c r="R235" s="6" t="s">
        <v>372</v>
      </c>
    </row>
    <row r="236" customFormat="false" ht="15" hidden="false" customHeight="false" outlineLevel="0" collapsed="false">
      <c r="A236" s="6" t="n">
        <v>235</v>
      </c>
      <c r="B236" s="6" t="s">
        <v>21</v>
      </c>
      <c r="C236" s="10" t="s">
        <v>58</v>
      </c>
      <c r="D236" s="6" t="s">
        <v>51</v>
      </c>
      <c r="E236" s="6" t="s">
        <v>564</v>
      </c>
      <c r="F236" s="7" t="s">
        <v>88</v>
      </c>
      <c r="G236" s="6" t="s">
        <v>54</v>
      </c>
      <c r="H236" s="6" t="n">
        <v>200</v>
      </c>
      <c r="I236" s="6" t="n">
        <v>200</v>
      </c>
      <c r="J236" s="6" t="n">
        <v>254</v>
      </c>
      <c r="K236" s="6" t="n">
        <v>1915</v>
      </c>
      <c r="L236" s="6" t="n">
        <v>821</v>
      </c>
      <c r="M236" s="6" t="n">
        <f aca="false">IF(AND(ISNUMBER(K236),ISNUMBER(L236)),ROUND(K236/L236,2),"")</f>
        <v>2.33</v>
      </c>
      <c r="N236" s="7" t="s">
        <v>259</v>
      </c>
      <c r="O236" s="11" t="s">
        <v>5</v>
      </c>
      <c r="P236" s="7"/>
      <c r="Q236" s="7"/>
      <c r="R236" s="6" t="s">
        <v>90</v>
      </c>
    </row>
    <row r="237" customFormat="false" ht="29.85" hidden="false" customHeight="false" outlineLevel="0" collapsed="false">
      <c r="A237" s="6" t="n">
        <v>236</v>
      </c>
      <c r="B237" s="6" t="s">
        <v>21</v>
      </c>
      <c r="C237" s="10" t="s">
        <v>58</v>
      </c>
      <c r="D237" s="6" t="s">
        <v>51</v>
      </c>
      <c r="E237" s="6" t="s">
        <v>565</v>
      </c>
      <c r="F237" s="9" t="s">
        <v>487</v>
      </c>
      <c r="G237" s="6" t="s">
        <v>54</v>
      </c>
      <c r="H237" s="6" t="n">
        <v>200</v>
      </c>
      <c r="I237" s="6" t="n">
        <v>200</v>
      </c>
      <c r="J237" s="6" t="n">
        <v>58</v>
      </c>
      <c r="K237" s="6" t="n">
        <v>1376</v>
      </c>
      <c r="L237" s="6" t="n">
        <v>768</v>
      </c>
      <c r="M237" s="6" t="n">
        <f aca="false">IF(AND(ISNUMBER(K237),ISNUMBER(L237)),ROUND(K237/L237,2),"")</f>
        <v>1.79</v>
      </c>
      <c r="N237" s="7" t="s">
        <v>566</v>
      </c>
      <c r="O237" s="8" t="s">
        <v>6</v>
      </c>
      <c r="P237" s="9" t="s">
        <v>74</v>
      </c>
      <c r="Q237" s="7"/>
      <c r="R237" s="6" t="s">
        <v>489</v>
      </c>
    </row>
    <row r="238" customFormat="false" ht="15" hidden="false" customHeight="false" outlineLevel="0" collapsed="false">
      <c r="A238" s="6" t="n">
        <v>237</v>
      </c>
      <c r="B238" s="6" t="s">
        <v>21</v>
      </c>
      <c r="C238" s="10" t="s">
        <v>58</v>
      </c>
      <c r="D238" s="6" t="s">
        <v>51</v>
      </c>
      <c r="E238" s="6" t="s">
        <v>64</v>
      </c>
      <c r="F238" s="7" t="s">
        <v>567</v>
      </c>
      <c r="G238" s="6" t="s">
        <v>54</v>
      </c>
      <c r="H238" s="6" t="n">
        <v>200</v>
      </c>
      <c r="I238" s="6" t="n">
        <v>200</v>
      </c>
      <c r="J238" s="6" t="n">
        <v>325.4</v>
      </c>
      <c r="K238" s="6" t="n">
        <v>1916</v>
      </c>
      <c r="L238" s="6" t="n">
        <v>821</v>
      </c>
      <c r="M238" s="6" t="n">
        <f aca="false">IF(AND(ISNUMBER(K238),ISNUMBER(L238)),ROUND(K238/L238,2),"")</f>
        <v>2.33</v>
      </c>
      <c r="N238" s="7" t="s">
        <v>568</v>
      </c>
      <c r="O238" s="8" t="s">
        <v>6</v>
      </c>
      <c r="P238" s="9" t="s">
        <v>67</v>
      </c>
      <c r="Q238" s="7"/>
      <c r="R238" s="6" t="s">
        <v>569</v>
      </c>
    </row>
    <row r="239" customFormat="false" ht="29.85" hidden="false" customHeight="false" outlineLevel="0" collapsed="false">
      <c r="A239" s="6" t="n">
        <v>238</v>
      </c>
      <c r="B239" s="6" t="s">
        <v>21</v>
      </c>
      <c r="C239" s="10" t="s">
        <v>58</v>
      </c>
      <c r="D239" s="6" t="s">
        <v>51</v>
      </c>
      <c r="E239" s="6" t="s">
        <v>64</v>
      </c>
      <c r="F239" s="9" t="s">
        <v>487</v>
      </c>
      <c r="G239" s="6" t="s">
        <v>54</v>
      </c>
      <c r="H239" s="6" t="n">
        <v>200</v>
      </c>
      <c r="I239" s="6" t="n">
        <v>200</v>
      </c>
      <c r="J239" s="6" t="n">
        <v>58</v>
      </c>
      <c r="K239" s="6" t="n">
        <v>1376</v>
      </c>
      <c r="L239" s="6" t="n">
        <v>768</v>
      </c>
      <c r="M239" s="6" t="n">
        <f aca="false">IF(AND(ISNUMBER(K239),ISNUMBER(L239)),ROUND(K239/L239,2),"")</f>
        <v>1.79</v>
      </c>
      <c r="N239" s="7" t="s">
        <v>570</v>
      </c>
      <c r="O239" s="8" t="s">
        <v>6</v>
      </c>
      <c r="P239" s="9" t="s">
        <v>74</v>
      </c>
      <c r="Q239" s="7"/>
      <c r="R239" s="6" t="s">
        <v>489</v>
      </c>
    </row>
    <row r="240" customFormat="false" ht="26.85" hidden="false" customHeight="false" outlineLevel="0" collapsed="false">
      <c r="A240" s="6" t="n">
        <v>239</v>
      </c>
      <c r="B240" s="6" t="s">
        <v>21</v>
      </c>
      <c r="C240" s="10" t="s">
        <v>58</v>
      </c>
      <c r="D240" s="6" t="s">
        <v>51</v>
      </c>
      <c r="E240" s="6" t="s">
        <v>64</v>
      </c>
      <c r="F240" s="9" t="s">
        <v>258</v>
      </c>
      <c r="G240" s="6" t="s">
        <v>54</v>
      </c>
      <c r="H240" s="6" t="n">
        <v>200</v>
      </c>
      <c r="I240" s="6" t="n">
        <v>200</v>
      </c>
      <c r="J240" s="6" t="n">
        <v>86.3</v>
      </c>
      <c r="K240" s="6" t="n">
        <v>1017</v>
      </c>
      <c r="L240" s="6" t="n">
        <v>764</v>
      </c>
      <c r="M240" s="6" t="n">
        <f aca="false">IF(AND(ISNUMBER(K240),ISNUMBER(L240)),ROUND(K240/L240,2),"")</f>
        <v>1.33</v>
      </c>
      <c r="N240" s="9" t="s">
        <v>571</v>
      </c>
      <c r="O240" s="11" t="s">
        <v>5</v>
      </c>
      <c r="P240" s="7"/>
      <c r="Q240" s="7"/>
      <c r="R240" s="6" t="s">
        <v>260</v>
      </c>
    </row>
    <row r="241" customFormat="false" ht="15" hidden="false" customHeight="false" outlineLevel="0" collapsed="false">
      <c r="A241" s="6" t="n">
        <v>240</v>
      </c>
      <c r="B241" s="6" t="s">
        <v>21</v>
      </c>
      <c r="C241" s="10" t="s">
        <v>58</v>
      </c>
      <c r="D241" s="6" t="s">
        <v>51</v>
      </c>
      <c r="E241" s="6" t="s">
        <v>64</v>
      </c>
      <c r="F241" s="9" t="s">
        <v>495</v>
      </c>
      <c r="G241" s="6" t="s">
        <v>54</v>
      </c>
      <c r="H241" s="6" t="n">
        <v>200</v>
      </c>
      <c r="I241" s="6" t="n">
        <v>200</v>
      </c>
      <c r="J241" s="6" t="n">
        <v>48</v>
      </c>
      <c r="K241" s="6" t="n">
        <v>881</v>
      </c>
      <c r="L241" s="6" t="n">
        <v>496</v>
      </c>
      <c r="M241" s="6" t="n">
        <f aca="false">IF(AND(ISNUMBER(K241),ISNUMBER(L241)),ROUND(K241/L241,2),"")</f>
        <v>1.78</v>
      </c>
      <c r="N241" s="7" t="s">
        <v>572</v>
      </c>
      <c r="O241" s="8" t="s">
        <v>6</v>
      </c>
      <c r="P241" s="9" t="s">
        <v>67</v>
      </c>
      <c r="Q241" s="7"/>
      <c r="R241" s="6" t="s">
        <v>497</v>
      </c>
    </row>
    <row r="242" customFormat="false" ht="15" hidden="false" customHeight="false" outlineLevel="0" collapsed="false">
      <c r="A242" s="6" t="n">
        <v>241</v>
      </c>
      <c r="B242" s="6" t="s">
        <v>21</v>
      </c>
      <c r="C242" s="10" t="s">
        <v>58</v>
      </c>
      <c r="D242" s="6" t="s">
        <v>51</v>
      </c>
      <c r="E242" s="6" t="s">
        <v>64</v>
      </c>
      <c r="F242" s="9" t="s">
        <v>171</v>
      </c>
      <c r="G242" s="6" t="s">
        <v>54</v>
      </c>
      <c r="H242" s="6" t="n">
        <v>200</v>
      </c>
      <c r="I242" s="6" t="n">
        <v>200</v>
      </c>
      <c r="J242" s="6" t="n">
        <v>51.5</v>
      </c>
      <c r="K242" s="6" t="n">
        <v>537</v>
      </c>
      <c r="L242" s="6" t="n">
        <v>403</v>
      </c>
      <c r="M242" s="6" t="n">
        <f aca="false">IF(AND(ISNUMBER(K242),ISNUMBER(L242)),ROUND(K242/L242,2),"")</f>
        <v>1.33</v>
      </c>
      <c r="N242" s="9" t="s">
        <v>573</v>
      </c>
      <c r="O242" s="8" t="s">
        <v>6</v>
      </c>
      <c r="P242" s="9" t="s">
        <v>67</v>
      </c>
      <c r="Q242" s="7"/>
      <c r="R242" s="6" t="s">
        <v>173</v>
      </c>
    </row>
    <row r="243" customFormat="false" ht="15" hidden="false" customHeight="false" outlineLevel="0" collapsed="false">
      <c r="A243" s="6" t="n">
        <v>242</v>
      </c>
      <c r="B243" s="6" t="s">
        <v>21</v>
      </c>
      <c r="C243" s="6" t="s">
        <v>50</v>
      </c>
      <c r="D243" s="6" t="s">
        <v>51</v>
      </c>
      <c r="E243" s="6" t="s">
        <v>170</v>
      </c>
      <c r="F243" s="9" t="s">
        <v>171</v>
      </c>
      <c r="G243" s="6" t="s">
        <v>54</v>
      </c>
      <c r="H243" s="6" t="n">
        <v>200</v>
      </c>
      <c r="I243" s="6" t="n">
        <v>200</v>
      </c>
      <c r="J243" s="6" t="n">
        <v>51.5</v>
      </c>
      <c r="K243" s="6" t="n">
        <v>537</v>
      </c>
      <c r="L243" s="6" t="n">
        <v>403</v>
      </c>
      <c r="M243" s="6" t="n">
        <f aca="false">IF(AND(ISNUMBER(K243),ISNUMBER(L243)),ROUND(K243/L243,2),"")</f>
        <v>1.33</v>
      </c>
      <c r="N243" s="9" t="s">
        <v>172</v>
      </c>
      <c r="O243" s="11" t="s">
        <v>5</v>
      </c>
      <c r="P243" s="7"/>
      <c r="Q243" s="7"/>
      <c r="R243" s="6" t="s">
        <v>173</v>
      </c>
    </row>
    <row r="244" customFormat="false" ht="15" hidden="false" customHeight="false" outlineLevel="0" collapsed="false">
      <c r="A244" s="6" t="n">
        <v>243</v>
      </c>
      <c r="B244" s="6" t="s">
        <v>21</v>
      </c>
      <c r="C244" s="6" t="s">
        <v>50</v>
      </c>
      <c r="D244" s="6" t="s">
        <v>51</v>
      </c>
      <c r="E244" s="6" t="s">
        <v>174</v>
      </c>
      <c r="F244" s="7" t="s">
        <v>53</v>
      </c>
      <c r="G244" s="6" t="s">
        <v>54</v>
      </c>
      <c r="H244" s="6" t="n">
        <v>200</v>
      </c>
      <c r="I244" s="6" t="n">
        <v>200</v>
      </c>
      <c r="J244" s="6" t="n">
        <v>3.9</v>
      </c>
      <c r="K244" s="6" t="n">
        <v>442</v>
      </c>
      <c r="L244" s="6" t="n">
        <v>129</v>
      </c>
      <c r="M244" s="6" t="n">
        <f aca="false">IF(AND(ISNUMBER(K244),ISNUMBER(L244)),ROUND(K244/L244,2),"")</f>
        <v>3.43</v>
      </c>
      <c r="N244" s="7" t="s">
        <v>55</v>
      </c>
      <c r="O244" s="8" t="s">
        <v>6</v>
      </c>
      <c r="P244" s="9" t="s">
        <v>56</v>
      </c>
      <c r="Q244" s="7"/>
      <c r="R244" s="6" t="s">
        <v>57</v>
      </c>
    </row>
    <row r="245" customFormat="false" ht="15" hidden="false" customHeight="false" outlineLevel="0" collapsed="false">
      <c r="A245" s="6" t="n">
        <v>244</v>
      </c>
      <c r="B245" s="6" t="s">
        <v>21</v>
      </c>
      <c r="C245" s="6" t="s">
        <v>175</v>
      </c>
      <c r="D245" s="6" t="s">
        <v>176</v>
      </c>
      <c r="E245" s="6" t="s">
        <v>176</v>
      </c>
      <c r="F245" s="7" t="s">
        <v>574</v>
      </c>
      <c r="G245" s="6" t="s">
        <v>54</v>
      </c>
      <c r="H245" s="6" t="n">
        <v>200</v>
      </c>
      <c r="I245" s="6" t="s">
        <v>178</v>
      </c>
      <c r="J245" s="6" t="n">
        <v>2758.8</v>
      </c>
      <c r="K245" s="6" t="n">
        <v>1915</v>
      </c>
      <c r="L245" s="6" t="n">
        <v>821</v>
      </c>
      <c r="M245" s="6" t="n">
        <f aca="false">IF(AND(ISNUMBER(K245),ISNUMBER(L245)),ROUND(K245/L245,2),"")</f>
        <v>2.33</v>
      </c>
      <c r="N245" s="7" t="s">
        <v>179</v>
      </c>
      <c r="O245" s="8" t="s">
        <v>6</v>
      </c>
      <c r="P245" s="9" t="s">
        <v>180</v>
      </c>
      <c r="Q245" s="7"/>
      <c r="R245" s="6" t="s">
        <v>575</v>
      </c>
    </row>
    <row r="246" customFormat="false" ht="15" hidden="false" customHeight="false" outlineLevel="0" collapsed="false">
      <c r="A246" s="6" t="n">
        <v>245</v>
      </c>
      <c r="B246" s="6" t="s">
        <v>22</v>
      </c>
      <c r="C246" s="6" t="s">
        <v>50</v>
      </c>
      <c r="D246" s="6" t="s">
        <v>51</v>
      </c>
      <c r="E246" s="6" t="s">
        <v>52</v>
      </c>
      <c r="F246" s="7" t="s">
        <v>53</v>
      </c>
      <c r="G246" s="6" t="s">
        <v>54</v>
      </c>
      <c r="H246" s="6" t="n">
        <v>200</v>
      </c>
      <c r="I246" s="6" t="n">
        <v>200</v>
      </c>
      <c r="J246" s="6" t="n">
        <v>3.9</v>
      </c>
      <c r="K246" s="6" t="n">
        <v>442</v>
      </c>
      <c r="L246" s="6" t="n">
        <v>129</v>
      </c>
      <c r="M246" s="6" t="n">
        <f aca="false">IF(AND(ISNUMBER(K246),ISNUMBER(L246)),ROUND(K246/L246,2),"")</f>
        <v>3.43</v>
      </c>
      <c r="N246" s="7" t="s">
        <v>55</v>
      </c>
      <c r="O246" s="8" t="s">
        <v>6</v>
      </c>
      <c r="P246" s="9" t="s">
        <v>56</v>
      </c>
      <c r="Q246" s="7"/>
      <c r="R246" s="6" t="s">
        <v>57</v>
      </c>
    </row>
    <row r="247" customFormat="false" ht="15" hidden="false" customHeight="false" outlineLevel="0" collapsed="false">
      <c r="A247" s="6" t="n">
        <v>246</v>
      </c>
      <c r="B247" s="6" t="s">
        <v>22</v>
      </c>
      <c r="C247" s="10" t="s">
        <v>58</v>
      </c>
      <c r="D247" s="6" t="s">
        <v>51</v>
      </c>
      <c r="E247" s="6" t="s">
        <v>182</v>
      </c>
      <c r="F247" s="7" t="s">
        <v>576</v>
      </c>
      <c r="G247" s="6" t="s">
        <v>54</v>
      </c>
      <c r="H247" s="6" t="n">
        <v>200</v>
      </c>
      <c r="I247" s="6" t="n">
        <v>200</v>
      </c>
      <c r="J247" s="6" t="n">
        <v>125.8</v>
      </c>
      <c r="K247" s="6" t="n">
        <v>1377</v>
      </c>
      <c r="L247" s="6" t="n">
        <v>768</v>
      </c>
      <c r="M247" s="6" t="n">
        <f aca="false">IF(AND(ISNUMBER(K247),ISNUMBER(L247)),ROUND(K247/L247,2),"")</f>
        <v>1.79</v>
      </c>
      <c r="N247" s="7" t="s">
        <v>240</v>
      </c>
      <c r="O247" s="8" t="s">
        <v>6</v>
      </c>
      <c r="P247" s="9" t="s">
        <v>350</v>
      </c>
      <c r="Q247" s="7"/>
      <c r="R247" s="6" t="s">
        <v>577</v>
      </c>
    </row>
    <row r="248" customFormat="false" ht="15" hidden="false" customHeight="false" outlineLevel="0" collapsed="false">
      <c r="A248" s="6" t="n">
        <v>247</v>
      </c>
      <c r="B248" s="6" t="s">
        <v>22</v>
      </c>
      <c r="C248" s="10" t="s">
        <v>58</v>
      </c>
      <c r="D248" s="6" t="s">
        <v>51</v>
      </c>
      <c r="E248" s="6" t="s">
        <v>64</v>
      </c>
      <c r="F248" s="7" t="s">
        <v>88</v>
      </c>
      <c r="G248" s="6" t="s">
        <v>54</v>
      </c>
      <c r="H248" s="6" t="n">
        <v>200</v>
      </c>
      <c r="I248" s="6" t="n">
        <v>200</v>
      </c>
      <c r="J248" s="6" t="n">
        <v>254</v>
      </c>
      <c r="K248" s="6" t="n">
        <v>1915</v>
      </c>
      <c r="L248" s="6" t="n">
        <v>821</v>
      </c>
      <c r="M248" s="6" t="n">
        <f aca="false">IF(AND(ISNUMBER(K248),ISNUMBER(L248)),ROUND(K248/L248,2),"")</f>
        <v>2.33</v>
      </c>
      <c r="N248" s="7" t="s">
        <v>259</v>
      </c>
      <c r="O248" s="11" t="s">
        <v>5</v>
      </c>
      <c r="P248" s="7"/>
      <c r="Q248" s="7"/>
      <c r="R248" s="6" t="s">
        <v>90</v>
      </c>
    </row>
    <row r="249" customFormat="false" ht="15" hidden="false" customHeight="false" outlineLevel="0" collapsed="false">
      <c r="A249" s="6" t="n">
        <v>248</v>
      </c>
      <c r="B249" s="6" t="s">
        <v>22</v>
      </c>
      <c r="C249" s="10" t="s">
        <v>58</v>
      </c>
      <c r="D249" s="6" t="s">
        <v>51</v>
      </c>
      <c r="E249" s="6" t="s">
        <v>578</v>
      </c>
      <c r="F249" s="7" t="s">
        <v>576</v>
      </c>
      <c r="G249" s="6" t="s">
        <v>54</v>
      </c>
      <c r="H249" s="6" t="n">
        <v>200</v>
      </c>
      <c r="I249" s="6" t="n">
        <v>200</v>
      </c>
      <c r="J249" s="6" t="n">
        <v>125.8</v>
      </c>
      <c r="K249" s="6" t="n">
        <v>1377</v>
      </c>
      <c r="L249" s="6" t="n">
        <v>768</v>
      </c>
      <c r="M249" s="6" t="n">
        <f aca="false">IF(AND(ISNUMBER(K249),ISNUMBER(L249)),ROUND(K249/L249,2),"")</f>
        <v>1.79</v>
      </c>
      <c r="N249" s="7" t="s">
        <v>579</v>
      </c>
      <c r="O249" s="8" t="s">
        <v>6</v>
      </c>
      <c r="P249" s="9" t="s">
        <v>350</v>
      </c>
      <c r="Q249" s="7"/>
      <c r="R249" s="6" t="s">
        <v>577</v>
      </c>
    </row>
    <row r="250" customFormat="false" ht="26.85" hidden="false" customHeight="false" outlineLevel="0" collapsed="false">
      <c r="A250" s="6" t="n">
        <v>249</v>
      </c>
      <c r="B250" s="6" t="s">
        <v>22</v>
      </c>
      <c r="C250" s="10" t="s">
        <v>58</v>
      </c>
      <c r="D250" s="6" t="s">
        <v>51</v>
      </c>
      <c r="E250" s="6" t="s">
        <v>580</v>
      </c>
      <c r="F250" s="9" t="s">
        <v>258</v>
      </c>
      <c r="G250" s="6" t="s">
        <v>54</v>
      </c>
      <c r="H250" s="6" t="n">
        <v>200</v>
      </c>
      <c r="I250" s="6" t="n">
        <v>200</v>
      </c>
      <c r="J250" s="6" t="n">
        <v>86.3</v>
      </c>
      <c r="K250" s="6" t="n">
        <v>1017</v>
      </c>
      <c r="L250" s="6" t="n">
        <v>764</v>
      </c>
      <c r="M250" s="6" t="n">
        <f aca="false">IF(AND(ISNUMBER(K250),ISNUMBER(L250)),ROUND(K250/L250,2),"")</f>
        <v>1.33</v>
      </c>
      <c r="N250" s="9" t="s">
        <v>581</v>
      </c>
      <c r="O250" s="11" t="s">
        <v>5</v>
      </c>
      <c r="P250" s="7"/>
      <c r="Q250" s="7"/>
      <c r="R250" s="6" t="s">
        <v>260</v>
      </c>
    </row>
    <row r="251" customFormat="false" ht="15" hidden="false" customHeight="false" outlineLevel="0" collapsed="false">
      <c r="A251" s="6" t="n">
        <v>250</v>
      </c>
      <c r="B251" s="6" t="s">
        <v>22</v>
      </c>
      <c r="C251" s="10" t="s">
        <v>58</v>
      </c>
      <c r="D251" s="6" t="s">
        <v>51</v>
      </c>
      <c r="E251" s="6" t="s">
        <v>582</v>
      </c>
      <c r="F251" s="9" t="s">
        <v>495</v>
      </c>
      <c r="G251" s="6" t="s">
        <v>54</v>
      </c>
      <c r="H251" s="6" t="n">
        <v>200</v>
      </c>
      <c r="I251" s="6" t="n">
        <v>200</v>
      </c>
      <c r="J251" s="6" t="n">
        <v>48</v>
      </c>
      <c r="K251" s="6" t="n">
        <v>881</v>
      </c>
      <c r="L251" s="6" t="n">
        <v>496</v>
      </c>
      <c r="M251" s="6" t="n">
        <f aca="false">IF(AND(ISNUMBER(K251),ISNUMBER(L251)),ROUND(K251/L251,2),"")</f>
        <v>1.78</v>
      </c>
      <c r="N251" s="7" t="s">
        <v>583</v>
      </c>
      <c r="O251" s="8" t="s">
        <v>6</v>
      </c>
      <c r="P251" s="9" t="s">
        <v>67</v>
      </c>
      <c r="Q251" s="7"/>
      <c r="R251" s="6" t="s">
        <v>497</v>
      </c>
    </row>
    <row r="252" customFormat="false" ht="15" hidden="false" customHeight="false" outlineLevel="0" collapsed="false">
      <c r="A252" s="6" t="n">
        <v>251</v>
      </c>
      <c r="B252" s="6" t="s">
        <v>22</v>
      </c>
      <c r="C252" s="10" t="s">
        <v>58</v>
      </c>
      <c r="D252" s="6" t="s">
        <v>51</v>
      </c>
      <c r="E252" s="6" t="s">
        <v>584</v>
      </c>
      <c r="F252" s="7" t="s">
        <v>585</v>
      </c>
      <c r="G252" s="6" t="s">
        <v>54</v>
      </c>
      <c r="H252" s="6" t="n">
        <v>200</v>
      </c>
      <c r="I252" s="6" t="n">
        <v>200</v>
      </c>
      <c r="J252" s="6" t="n">
        <v>124</v>
      </c>
      <c r="K252" s="6" t="n">
        <v>1376</v>
      </c>
      <c r="L252" s="6" t="n">
        <v>768</v>
      </c>
      <c r="M252" s="6" t="n">
        <f aca="false">IF(AND(ISNUMBER(K252),ISNUMBER(L252)),ROUND(K252/L252,2),"")</f>
        <v>1.79</v>
      </c>
      <c r="N252" s="9" t="s">
        <v>586</v>
      </c>
      <c r="O252" s="11" t="s">
        <v>5</v>
      </c>
      <c r="P252" s="7"/>
      <c r="Q252" s="7"/>
      <c r="R252" s="6" t="s">
        <v>587</v>
      </c>
    </row>
    <row r="253" customFormat="false" ht="26.85" hidden="false" customHeight="false" outlineLevel="0" collapsed="false">
      <c r="A253" s="6" t="n">
        <v>252</v>
      </c>
      <c r="B253" s="6" t="s">
        <v>22</v>
      </c>
      <c r="C253" s="10" t="s">
        <v>58</v>
      </c>
      <c r="D253" s="6" t="s">
        <v>51</v>
      </c>
      <c r="E253" s="6" t="s">
        <v>588</v>
      </c>
      <c r="F253" s="7" t="s">
        <v>589</v>
      </c>
      <c r="G253" s="6" t="s">
        <v>54</v>
      </c>
      <c r="H253" s="6" t="n">
        <v>200</v>
      </c>
      <c r="I253" s="6" t="n">
        <v>200</v>
      </c>
      <c r="J253" s="6" t="n">
        <v>86.3</v>
      </c>
      <c r="K253" s="6" t="n">
        <v>1017</v>
      </c>
      <c r="L253" s="6" t="n">
        <v>764</v>
      </c>
      <c r="M253" s="6" t="n">
        <f aca="false">IF(AND(ISNUMBER(K253),ISNUMBER(L253)),ROUND(K253/L253,2),"")</f>
        <v>1.33</v>
      </c>
      <c r="N253" s="9" t="s">
        <v>590</v>
      </c>
      <c r="O253" s="11" t="s">
        <v>5</v>
      </c>
      <c r="P253" s="7"/>
      <c r="Q253" s="7"/>
      <c r="R253" s="6" t="s">
        <v>591</v>
      </c>
    </row>
    <row r="254" customFormat="false" ht="29.85" hidden="false" customHeight="false" outlineLevel="0" collapsed="false">
      <c r="A254" s="6" t="n">
        <v>253</v>
      </c>
      <c r="B254" s="6" t="s">
        <v>22</v>
      </c>
      <c r="C254" s="10" t="s">
        <v>58</v>
      </c>
      <c r="D254" s="6" t="s">
        <v>51</v>
      </c>
      <c r="E254" s="6" t="s">
        <v>592</v>
      </c>
      <c r="F254" s="7" t="s">
        <v>322</v>
      </c>
      <c r="G254" s="6" t="s">
        <v>54</v>
      </c>
      <c r="H254" s="6" t="n">
        <v>200</v>
      </c>
      <c r="I254" s="6" t="n">
        <v>200</v>
      </c>
      <c r="J254" s="6" t="n">
        <v>338.4</v>
      </c>
      <c r="K254" s="6" t="n">
        <v>1630</v>
      </c>
      <c r="L254" s="6" t="n">
        <v>1920</v>
      </c>
      <c r="M254" s="6" t="n">
        <f aca="false">IF(AND(ISNUMBER(K254),ISNUMBER(L254)),ROUND(K254/L254,2),"")</f>
        <v>0.85</v>
      </c>
      <c r="N254" s="7" t="s">
        <v>593</v>
      </c>
      <c r="O254" s="8" t="s">
        <v>6</v>
      </c>
      <c r="P254" s="9" t="s">
        <v>594</v>
      </c>
      <c r="Q254" s="7"/>
      <c r="R254" s="6" t="s">
        <v>325</v>
      </c>
    </row>
    <row r="255" customFormat="false" ht="15" hidden="false" customHeight="false" outlineLevel="0" collapsed="false">
      <c r="A255" s="6" t="n">
        <v>254</v>
      </c>
      <c r="B255" s="6" t="s">
        <v>22</v>
      </c>
      <c r="C255" s="10" t="s">
        <v>58</v>
      </c>
      <c r="D255" s="6" t="s">
        <v>51</v>
      </c>
      <c r="E255" s="6" t="s">
        <v>595</v>
      </c>
      <c r="F255" s="9" t="s">
        <v>596</v>
      </c>
      <c r="G255" s="6" t="s">
        <v>54</v>
      </c>
      <c r="H255" s="6" t="n">
        <v>200</v>
      </c>
      <c r="I255" s="6" t="n">
        <v>200</v>
      </c>
      <c r="J255" s="6" t="n">
        <v>46.3</v>
      </c>
      <c r="K255" s="6" t="n">
        <v>1040</v>
      </c>
      <c r="L255" s="6" t="n">
        <v>632</v>
      </c>
      <c r="M255" s="6" t="n">
        <f aca="false">IF(AND(ISNUMBER(K255),ISNUMBER(L255)),ROUND(K255/L255,2),"")</f>
        <v>1.65</v>
      </c>
      <c r="N255" s="9" t="s">
        <v>597</v>
      </c>
      <c r="O255" s="8" t="s">
        <v>6</v>
      </c>
      <c r="P255" s="9" t="s">
        <v>67</v>
      </c>
      <c r="Q255" s="7"/>
      <c r="R255" s="6" t="s">
        <v>598</v>
      </c>
    </row>
    <row r="256" customFormat="false" ht="15" hidden="false" customHeight="false" outlineLevel="0" collapsed="false">
      <c r="A256" s="6" t="n">
        <v>255</v>
      </c>
      <c r="B256" s="6" t="s">
        <v>22</v>
      </c>
      <c r="C256" s="10" t="s">
        <v>58</v>
      </c>
      <c r="D256" s="6" t="s">
        <v>51</v>
      </c>
      <c r="E256" s="6" t="s">
        <v>599</v>
      </c>
      <c r="F256" s="9" t="s">
        <v>254</v>
      </c>
      <c r="G256" s="6" t="s">
        <v>54</v>
      </c>
      <c r="H256" s="6" t="n">
        <v>200</v>
      </c>
      <c r="I256" s="6" t="n">
        <v>200</v>
      </c>
      <c r="J256" s="6" t="n">
        <v>182.1</v>
      </c>
      <c r="K256" s="6" t="n">
        <v>1916</v>
      </c>
      <c r="L256" s="6" t="n">
        <v>821</v>
      </c>
      <c r="M256" s="6" t="n">
        <f aca="false">IF(AND(ISNUMBER(K256),ISNUMBER(L256)),ROUND(K256/L256,2),"")</f>
        <v>2.33</v>
      </c>
      <c r="N256" s="9" t="s">
        <v>600</v>
      </c>
      <c r="O256" s="8" t="s">
        <v>6</v>
      </c>
      <c r="P256" s="9" t="s">
        <v>67</v>
      </c>
      <c r="Q256" s="7"/>
      <c r="R256" s="6" t="s">
        <v>256</v>
      </c>
    </row>
    <row r="257" customFormat="false" ht="23.85" hidden="false" customHeight="false" outlineLevel="0" collapsed="false">
      <c r="A257" s="6" t="n">
        <v>256</v>
      </c>
      <c r="B257" s="6" t="s">
        <v>22</v>
      </c>
      <c r="C257" s="10" t="s">
        <v>58</v>
      </c>
      <c r="D257" s="6" t="s">
        <v>51</v>
      </c>
      <c r="E257" s="6" t="s">
        <v>601</v>
      </c>
      <c r="F257" s="7" t="s">
        <v>602</v>
      </c>
      <c r="G257" s="6" t="s">
        <v>54</v>
      </c>
      <c r="H257" s="6" t="n">
        <v>200</v>
      </c>
      <c r="I257" s="6" t="n">
        <v>200</v>
      </c>
      <c r="J257" s="6" t="n">
        <v>122.5</v>
      </c>
      <c r="K257" s="6" t="n">
        <v>1377</v>
      </c>
      <c r="L257" s="6" t="n">
        <v>768</v>
      </c>
      <c r="M257" s="6" t="n">
        <f aca="false">IF(AND(ISNUMBER(K257),ISNUMBER(L257)),ROUND(K257/L257,2),"")</f>
        <v>1.79</v>
      </c>
      <c r="N257" s="9" t="s">
        <v>603</v>
      </c>
      <c r="O257" s="11" t="s">
        <v>5</v>
      </c>
      <c r="P257" s="7"/>
      <c r="Q257" s="7"/>
      <c r="R257" s="6" t="s">
        <v>604</v>
      </c>
    </row>
    <row r="258" customFormat="false" ht="15" hidden="false" customHeight="false" outlineLevel="0" collapsed="false">
      <c r="A258" s="6" t="n">
        <v>257</v>
      </c>
      <c r="B258" s="6" t="s">
        <v>22</v>
      </c>
      <c r="C258" s="10" t="s">
        <v>58</v>
      </c>
      <c r="D258" s="6" t="s">
        <v>51</v>
      </c>
      <c r="E258" s="6" t="s">
        <v>605</v>
      </c>
      <c r="F258" s="7" t="s">
        <v>378</v>
      </c>
      <c r="G258" s="6" t="s">
        <v>54</v>
      </c>
      <c r="H258" s="6" t="n">
        <v>200</v>
      </c>
      <c r="I258" s="6" t="n">
        <v>200</v>
      </c>
      <c r="J258" s="6" t="n">
        <v>227.7</v>
      </c>
      <c r="K258" s="6" t="n">
        <v>1515</v>
      </c>
      <c r="L258" s="6" t="n">
        <v>731</v>
      </c>
      <c r="M258" s="6" t="n">
        <f aca="false">IF(AND(ISNUMBER(K258),ISNUMBER(L258)),ROUND(K258/L258,2),"")</f>
        <v>2.07</v>
      </c>
      <c r="N258" s="9" t="s">
        <v>606</v>
      </c>
      <c r="O258" s="8" t="s">
        <v>6</v>
      </c>
      <c r="P258" s="9" t="s">
        <v>67</v>
      </c>
      <c r="Q258" s="7"/>
      <c r="R258" s="6" t="s">
        <v>380</v>
      </c>
    </row>
    <row r="259" customFormat="false" ht="15" hidden="false" customHeight="false" outlineLevel="0" collapsed="false">
      <c r="A259" s="6" t="n">
        <v>258</v>
      </c>
      <c r="B259" s="6" t="s">
        <v>22</v>
      </c>
      <c r="C259" s="10" t="s">
        <v>58</v>
      </c>
      <c r="D259" s="6" t="s">
        <v>51</v>
      </c>
      <c r="E259" s="6" t="s">
        <v>64</v>
      </c>
      <c r="F259" s="7" t="s">
        <v>167</v>
      </c>
      <c r="G259" s="6" t="s">
        <v>54</v>
      </c>
      <c r="H259" s="6" t="n">
        <v>200</v>
      </c>
      <c r="I259" s="6" t="n">
        <v>200</v>
      </c>
      <c r="J259" s="6" t="n">
        <v>150.2</v>
      </c>
      <c r="K259" s="6" t="n">
        <v>1915</v>
      </c>
      <c r="L259" s="6" t="n">
        <v>821</v>
      </c>
      <c r="M259" s="6" t="n">
        <f aca="false">IF(AND(ISNUMBER(K259),ISNUMBER(L259)),ROUND(K259/L259,2),"")</f>
        <v>2.33</v>
      </c>
      <c r="N259" s="9" t="s">
        <v>168</v>
      </c>
      <c r="O259" s="8" t="s">
        <v>6</v>
      </c>
      <c r="P259" s="9" t="s">
        <v>67</v>
      </c>
      <c r="Q259" s="7"/>
      <c r="R259" s="6" t="s">
        <v>169</v>
      </c>
    </row>
    <row r="260" customFormat="false" ht="15" hidden="false" customHeight="false" outlineLevel="0" collapsed="false">
      <c r="A260" s="6" t="n">
        <v>259</v>
      </c>
      <c r="B260" s="6" t="s">
        <v>22</v>
      </c>
      <c r="C260" s="6" t="s">
        <v>50</v>
      </c>
      <c r="D260" s="6" t="s">
        <v>51</v>
      </c>
      <c r="E260" s="6" t="s">
        <v>170</v>
      </c>
      <c r="F260" s="9" t="s">
        <v>171</v>
      </c>
      <c r="G260" s="6" t="s">
        <v>54</v>
      </c>
      <c r="H260" s="6" t="n">
        <v>200</v>
      </c>
      <c r="I260" s="6" t="n">
        <v>200</v>
      </c>
      <c r="J260" s="6" t="n">
        <v>51.5</v>
      </c>
      <c r="K260" s="6" t="n">
        <v>537</v>
      </c>
      <c r="L260" s="6" t="n">
        <v>403</v>
      </c>
      <c r="M260" s="6" t="n">
        <f aca="false">IF(AND(ISNUMBER(K260),ISNUMBER(L260)),ROUND(K260/L260,2),"")</f>
        <v>1.33</v>
      </c>
      <c r="N260" s="9" t="s">
        <v>172</v>
      </c>
      <c r="O260" s="11" t="s">
        <v>5</v>
      </c>
      <c r="P260" s="7"/>
      <c r="Q260" s="7"/>
      <c r="R260" s="6" t="s">
        <v>173</v>
      </c>
    </row>
    <row r="261" customFormat="false" ht="15" hidden="false" customHeight="false" outlineLevel="0" collapsed="false">
      <c r="A261" s="6" t="n">
        <v>260</v>
      </c>
      <c r="B261" s="6" t="s">
        <v>22</v>
      </c>
      <c r="C261" s="6" t="s">
        <v>50</v>
      </c>
      <c r="D261" s="6" t="s">
        <v>51</v>
      </c>
      <c r="E261" s="6" t="s">
        <v>174</v>
      </c>
      <c r="F261" s="7" t="s">
        <v>53</v>
      </c>
      <c r="G261" s="6" t="s">
        <v>54</v>
      </c>
      <c r="H261" s="6" t="n">
        <v>200</v>
      </c>
      <c r="I261" s="6" t="n">
        <v>200</v>
      </c>
      <c r="J261" s="6" t="n">
        <v>3.9</v>
      </c>
      <c r="K261" s="6" t="n">
        <v>442</v>
      </c>
      <c r="L261" s="6" t="n">
        <v>129</v>
      </c>
      <c r="M261" s="6" t="n">
        <f aca="false">IF(AND(ISNUMBER(K261),ISNUMBER(L261)),ROUND(K261/L261,2),"")</f>
        <v>3.43</v>
      </c>
      <c r="N261" s="7" t="s">
        <v>55</v>
      </c>
      <c r="O261" s="8" t="s">
        <v>6</v>
      </c>
      <c r="P261" s="9" t="s">
        <v>56</v>
      </c>
      <c r="Q261" s="7"/>
      <c r="R261" s="6" t="s">
        <v>57</v>
      </c>
    </row>
    <row r="262" customFormat="false" ht="15" hidden="false" customHeight="false" outlineLevel="0" collapsed="false">
      <c r="A262" s="6" t="n">
        <v>261</v>
      </c>
      <c r="B262" s="6" t="s">
        <v>22</v>
      </c>
      <c r="C262" s="6" t="s">
        <v>175</v>
      </c>
      <c r="D262" s="6" t="s">
        <v>176</v>
      </c>
      <c r="E262" s="6" t="s">
        <v>176</v>
      </c>
      <c r="F262" s="7" t="s">
        <v>574</v>
      </c>
      <c r="G262" s="6" t="s">
        <v>54</v>
      </c>
      <c r="H262" s="6" t="n">
        <v>200</v>
      </c>
      <c r="I262" s="6" t="s">
        <v>178</v>
      </c>
      <c r="J262" s="6" t="n">
        <v>2758.8</v>
      </c>
      <c r="K262" s="6" t="n">
        <v>1915</v>
      </c>
      <c r="L262" s="6" t="n">
        <v>821</v>
      </c>
      <c r="M262" s="6" t="n">
        <f aca="false">IF(AND(ISNUMBER(K262),ISNUMBER(L262)),ROUND(K262/L262,2),"")</f>
        <v>2.33</v>
      </c>
      <c r="N262" s="7" t="s">
        <v>179</v>
      </c>
      <c r="O262" s="8" t="s">
        <v>6</v>
      </c>
      <c r="P262" s="9" t="s">
        <v>180</v>
      </c>
      <c r="Q262" s="7"/>
      <c r="R262" s="6" t="s">
        <v>575</v>
      </c>
    </row>
    <row r="263" customFormat="false" ht="15" hidden="false" customHeight="false" outlineLevel="0" collapsed="false">
      <c r="A263" s="6" t="n">
        <v>262</v>
      </c>
      <c r="B263" s="6" t="s">
        <v>22</v>
      </c>
      <c r="C263" s="10" t="s">
        <v>58</v>
      </c>
      <c r="D263" s="6" t="s">
        <v>315</v>
      </c>
      <c r="E263" s="6" t="s">
        <v>316</v>
      </c>
      <c r="F263" s="9" t="s">
        <v>607</v>
      </c>
      <c r="G263" s="6" t="s">
        <v>54</v>
      </c>
      <c r="H263" s="6" t="n">
        <v>200</v>
      </c>
      <c r="I263" s="6" t="s">
        <v>178</v>
      </c>
      <c r="J263" s="6" t="n">
        <v>66.5</v>
      </c>
      <c r="K263" s="6" t="n">
        <v>1040</v>
      </c>
      <c r="L263" s="6" t="n">
        <v>632</v>
      </c>
      <c r="M263" s="6" t="n">
        <f aca="false">IF(AND(ISNUMBER(K263),ISNUMBER(L263)),ROUND(K263/L263,2),"")</f>
        <v>1.65</v>
      </c>
      <c r="N263" s="7" t="s">
        <v>318</v>
      </c>
      <c r="O263" s="11" t="s">
        <v>5</v>
      </c>
      <c r="P263" s="7"/>
      <c r="Q263" s="7"/>
      <c r="R263" s="6" t="s">
        <v>608</v>
      </c>
    </row>
    <row r="264" customFormat="false" ht="15" hidden="false" customHeight="false" outlineLevel="0" collapsed="false">
      <c r="A264" s="6" t="n">
        <v>263</v>
      </c>
      <c r="B264" s="6" t="s">
        <v>23</v>
      </c>
      <c r="C264" s="6" t="s">
        <v>50</v>
      </c>
      <c r="D264" s="6" t="s">
        <v>51</v>
      </c>
      <c r="E264" s="6" t="s">
        <v>52</v>
      </c>
      <c r="F264" s="7" t="s">
        <v>53</v>
      </c>
      <c r="G264" s="6" t="s">
        <v>54</v>
      </c>
      <c r="H264" s="6" t="n">
        <v>200</v>
      </c>
      <c r="I264" s="6" t="n">
        <v>200</v>
      </c>
      <c r="J264" s="6" t="n">
        <v>3.9</v>
      </c>
      <c r="K264" s="6" t="n">
        <v>442</v>
      </c>
      <c r="L264" s="6" t="n">
        <v>129</v>
      </c>
      <c r="M264" s="6" t="n">
        <f aca="false">IF(AND(ISNUMBER(K264),ISNUMBER(L264)),ROUND(K264/L264,2),"")</f>
        <v>3.43</v>
      </c>
      <c r="N264" s="7" t="s">
        <v>55</v>
      </c>
      <c r="O264" s="8" t="s">
        <v>6</v>
      </c>
      <c r="P264" s="9" t="s">
        <v>56</v>
      </c>
      <c r="Q264" s="7"/>
      <c r="R264" s="6" t="s">
        <v>57</v>
      </c>
    </row>
    <row r="265" customFormat="false" ht="15" hidden="false" customHeight="false" outlineLevel="0" collapsed="false">
      <c r="A265" s="6" t="n">
        <v>264</v>
      </c>
      <c r="B265" s="6" t="s">
        <v>23</v>
      </c>
      <c r="C265" s="10" t="s">
        <v>58</v>
      </c>
      <c r="D265" s="6" t="s">
        <v>51</v>
      </c>
      <c r="E265" s="6" t="s">
        <v>182</v>
      </c>
      <c r="F265" s="7" t="s">
        <v>92</v>
      </c>
      <c r="G265" s="6" t="s">
        <v>54</v>
      </c>
      <c r="H265" s="6" t="n">
        <v>200</v>
      </c>
      <c r="I265" s="6" t="n">
        <v>200</v>
      </c>
      <c r="J265" s="6" t="n">
        <v>36.9</v>
      </c>
      <c r="K265" s="6" t="n">
        <v>569</v>
      </c>
      <c r="L265" s="6" t="n">
        <v>712</v>
      </c>
      <c r="M265" s="6" t="n">
        <f aca="false">IF(AND(ISNUMBER(K265),ISNUMBER(L265)),ROUND(K265/L265,2),"")</f>
        <v>0.8</v>
      </c>
      <c r="N265" s="7" t="s">
        <v>609</v>
      </c>
      <c r="O265" s="8" t="s">
        <v>6</v>
      </c>
      <c r="P265" s="9" t="s">
        <v>610</v>
      </c>
      <c r="Q265" s="7"/>
      <c r="R265" s="6" t="s">
        <v>95</v>
      </c>
    </row>
    <row r="266" customFormat="false" ht="15" hidden="false" customHeight="false" outlineLevel="0" collapsed="false">
      <c r="A266" s="6" t="n">
        <v>265</v>
      </c>
      <c r="B266" s="6" t="s">
        <v>23</v>
      </c>
      <c r="C266" s="10" t="s">
        <v>58</v>
      </c>
      <c r="D266" s="6" t="s">
        <v>51</v>
      </c>
      <c r="E266" s="6" t="s">
        <v>64</v>
      </c>
      <c r="F266" s="7" t="s">
        <v>611</v>
      </c>
      <c r="G266" s="6" t="s">
        <v>54</v>
      </c>
      <c r="H266" s="6" t="n">
        <v>200</v>
      </c>
      <c r="I266" s="6" t="n">
        <v>200</v>
      </c>
      <c r="J266" s="6" t="n">
        <v>47.2</v>
      </c>
      <c r="K266" s="6" t="n">
        <v>569</v>
      </c>
      <c r="L266" s="6" t="n">
        <v>712</v>
      </c>
      <c r="M266" s="6" t="n">
        <f aca="false">IF(AND(ISNUMBER(K266),ISNUMBER(L266)),ROUND(K266/L266,2),"")</f>
        <v>0.8</v>
      </c>
      <c r="N266" s="7" t="s">
        <v>612</v>
      </c>
      <c r="O266" s="8" t="s">
        <v>6</v>
      </c>
      <c r="P266" s="9" t="s">
        <v>613</v>
      </c>
      <c r="Q266" s="7"/>
      <c r="R266" s="6" t="s">
        <v>614</v>
      </c>
    </row>
    <row r="267" customFormat="false" ht="15" hidden="false" customHeight="false" outlineLevel="0" collapsed="false">
      <c r="A267" s="6" t="n">
        <v>266</v>
      </c>
      <c r="B267" s="6" t="s">
        <v>23</v>
      </c>
      <c r="C267" s="10" t="s">
        <v>58</v>
      </c>
      <c r="D267" s="6" t="s">
        <v>51</v>
      </c>
      <c r="E267" s="6" t="s">
        <v>64</v>
      </c>
      <c r="F267" s="7" t="s">
        <v>92</v>
      </c>
      <c r="G267" s="6" t="s">
        <v>54</v>
      </c>
      <c r="H267" s="6" t="n">
        <v>200</v>
      </c>
      <c r="I267" s="6" t="n">
        <v>200</v>
      </c>
      <c r="J267" s="6" t="n">
        <v>36.9</v>
      </c>
      <c r="K267" s="6" t="n">
        <v>569</v>
      </c>
      <c r="L267" s="6" t="n">
        <v>712</v>
      </c>
      <c r="M267" s="6" t="n">
        <f aca="false">IF(AND(ISNUMBER(K267),ISNUMBER(L267)),ROUND(K267/L267,2),"")</f>
        <v>0.8</v>
      </c>
      <c r="N267" s="7" t="s">
        <v>615</v>
      </c>
      <c r="O267" s="8" t="s">
        <v>6</v>
      </c>
      <c r="P267" s="9" t="s">
        <v>610</v>
      </c>
      <c r="Q267" s="7"/>
      <c r="R267" s="6" t="s">
        <v>95</v>
      </c>
    </row>
    <row r="268" customFormat="false" ht="15" hidden="false" customHeight="false" outlineLevel="0" collapsed="false">
      <c r="A268" s="6" t="n">
        <v>267</v>
      </c>
      <c r="B268" s="6" t="s">
        <v>23</v>
      </c>
      <c r="C268" s="6" t="s">
        <v>50</v>
      </c>
      <c r="D268" s="6" t="s">
        <v>51</v>
      </c>
      <c r="E268" s="6" t="s">
        <v>170</v>
      </c>
      <c r="F268" s="9" t="s">
        <v>171</v>
      </c>
      <c r="G268" s="6" t="s">
        <v>54</v>
      </c>
      <c r="H268" s="6" t="n">
        <v>200</v>
      </c>
      <c r="I268" s="6" t="n">
        <v>200</v>
      </c>
      <c r="J268" s="6" t="n">
        <v>51.5</v>
      </c>
      <c r="K268" s="6" t="n">
        <v>537</v>
      </c>
      <c r="L268" s="6" t="n">
        <v>403</v>
      </c>
      <c r="M268" s="6" t="n">
        <f aca="false">IF(AND(ISNUMBER(K268),ISNUMBER(L268)),ROUND(K268/L268,2),"")</f>
        <v>1.33</v>
      </c>
      <c r="N268" s="9" t="s">
        <v>172</v>
      </c>
      <c r="O268" s="11" t="s">
        <v>5</v>
      </c>
      <c r="P268" s="7"/>
      <c r="Q268" s="7"/>
      <c r="R268" s="6" t="s">
        <v>173</v>
      </c>
    </row>
    <row r="269" customFormat="false" ht="15" hidden="false" customHeight="false" outlineLevel="0" collapsed="false">
      <c r="A269" s="6" t="n">
        <v>268</v>
      </c>
      <c r="B269" s="6" t="s">
        <v>23</v>
      </c>
      <c r="C269" s="6" t="s">
        <v>50</v>
      </c>
      <c r="D269" s="6" t="s">
        <v>51</v>
      </c>
      <c r="E269" s="6" t="s">
        <v>174</v>
      </c>
      <c r="F269" s="7" t="s">
        <v>53</v>
      </c>
      <c r="G269" s="6" t="s">
        <v>54</v>
      </c>
      <c r="H269" s="6" t="n">
        <v>200</v>
      </c>
      <c r="I269" s="6" t="n">
        <v>200</v>
      </c>
      <c r="J269" s="6" t="n">
        <v>3.9</v>
      </c>
      <c r="K269" s="6" t="n">
        <v>442</v>
      </c>
      <c r="L269" s="6" t="n">
        <v>129</v>
      </c>
      <c r="M269" s="6" t="n">
        <f aca="false">IF(AND(ISNUMBER(K269),ISNUMBER(L269)),ROUND(K269/L269,2),"")</f>
        <v>3.43</v>
      </c>
      <c r="N269" s="7" t="s">
        <v>55</v>
      </c>
      <c r="O269" s="8" t="s">
        <v>6</v>
      </c>
      <c r="P269" s="9" t="s">
        <v>56</v>
      </c>
      <c r="Q269" s="7"/>
      <c r="R269" s="6" t="s">
        <v>57</v>
      </c>
    </row>
    <row r="270" customFormat="false" ht="15" hidden="false" customHeight="false" outlineLevel="0" collapsed="false">
      <c r="A270" s="6" t="n">
        <v>269</v>
      </c>
      <c r="B270" s="6" t="s">
        <v>23</v>
      </c>
      <c r="C270" s="6" t="s">
        <v>175</v>
      </c>
      <c r="D270" s="6" t="s">
        <v>176</v>
      </c>
      <c r="E270" s="6" t="s">
        <v>176</v>
      </c>
      <c r="F270" s="7" t="s">
        <v>616</v>
      </c>
      <c r="G270" s="6" t="s">
        <v>54</v>
      </c>
      <c r="H270" s="6" t="n">
        <v>200</v>
      </c>
      <c r="I270" s="6" t="s">
        <v>178</v>
      </c>
      <c r="J270" s="6" t="n">
        <v>596.3</v>
      </c>
      <c r="K270" s="6" t="n">
        <v>569</v>
      </c>
      <c r="L270" s="6" t="n">
        <v>712</v>
      </c>
      <c r="M270" s="6" t="n">
        <f aca="false">IF(AND(ISNUMBER(K270),ISNUMBER(L270)),ROUND(K270/L270,2),"")</f>
        <v>0.8</v>
      </c>
      <c r="N270" s="7" t="s">
        <v>179</v>
      </c>
      <c r="O270" s="8" t="s">
        <v>6</v>
      </c>
      <c r="P270" s="9" t="s">
        <v>180</v>
      </c>
      <c r="Q270" s="7"/>
      <c r="R270" s="6" t="s">
        <v>617</v>
      </c>
    </row>
    <row r="271" customFormat="false" ht="15" hidden="false" customHeight="false" outlineLevel="0" collapsed="false">
      <c r="A271" s="6" t="n">
        <v>270</v>
      </c>
      <c r="B271" s="6" t="s">
        <v>23</v>
      </c>
      <c r="C271" s="10" t="s">
        <v>58</v>
      </c>
      <c r="D271" s="6" t="s">
        <v>315</v>
      </c>
      <c r="E271" s="6" t="s">
        <v>316</v>
      </c>
      <c r="F271" s="9" t="s">
        <v>618</v>
      </c>
      <c r="G271" s="6" t="s">
        <v>54</v>
      </c>
      <c r="H271" s="6" t="n">
        <v>200</v>
      </c>
      <c r="I271" s="6" t="s">
        <v>178</v>
      </c>
      <c r="J271" s="6" t="n">
        <v>94.9</v>
      </c>
      <c r="K271" s="6" t="n">
        <v>1040</v>
      </c>
      <c r="L271" s="6" t="n">
        <v>632</v>
      </c>
      <c r="M271" s="6" t="n">
        <f aca="false">IF(AND(ISNUMBER(K271),ISNUMBER(L271)),ROUND(K271/L271,2),"")</f>
        <v>1.65</v>
      </c>
      <c r="N271" s="7" t="s">
        <v>318</v>
      </c>
      <c r="O271" s="11" t="s">
        <v>5</v>
      </c>
      <c r="P271" s="7"/>
      <c r="Q271" s="7"/>
      <c r="R271" s="6" t="s">
        <v>619</v>
      </c>
    </row>
    <row r="272" customFormat="false" ht="15" hidden="false" customHeight="false" outlineLevel="0" collapsed="false">
      <c r="A272" s="6" t="n">
        <v>271</v>
      </c>
      <c r="B272" s="6" t="s">
        <v>24</v>
      </c>
      <c r="C272" s="6" t="s">
        <v>50</v>
      </c>
      <c r="D272" s="6" t="s">
        <v>51</v>
      </c>
      <c r="E272" s="6" t="s">
        <v>52</v>
      </c>
      <c r="F272" s="7" t="s">
        <v>53</v>
      </c>
      <c r="G272" s="6" t="s">
        <v>54</v>
      </c>
      <c r="H272" s="6" t="n">
        <v>200</v>
      </c>
      <c r="I272" s="6" t="n">
        <v>200</v>
      </c>
      <c r="J272" s="6" t="n">
        <v>3.9</v>
      </c>
      <c r="K272" s="6" t="n">
        <v>442</v>
      </c>
      <c r="L272" s="6" t="n">
        <v>129</v>
      </c>
      <c r="M272" s="6" t="n">
        <f aca="false">IF(AND(ISNUMBER(K272),ISNUMBER(L272)),ROUND(K272/L272,2),"")</f>
        <v>3.43</v>
      </c>
      <c r="N272" s="7" t="s">
        <v>55</v>
      </c>
      <c r="O272" s="8" t="s">
        <v>6</v>
      </c>
      <c r="P272" s="9" t="s">
        <v>56</v>
      </c>
      <c r="Q272" s="7"/>
      <c r="R272" s="6" t="s">
        <v>57</v>
      </c>
    </row>
    <row r="273" customFormat="false" ht="15" hidden="false" customHeight="false" outlineLevel="0" collapsed="false">
      <c r="A273" s="6" t="n">
        <v>272</v>
      </c>
      <c r="B273" s="6" t="s">
        <v>24</v>
      </c>
      <c r="C273" s="10" t="s">
        <v>58</v>
      </c>
      <c r="D273" s="6" t="s">
        <v>51</v>
      </c>
      <c r="E273" s="6" t="s">
        <v>182</v>
      </c>
      <c r="F273" s="7" t="s">
        <v>620</v>
      </c>
      <c r="G273" s="6" t="s">
        <v>54</v>
      </c>
      <c r="H273" s="6" t="n">
        <v>200</v>
      </c>
      <c r="I273" s="6" t="n">
        <v>200</v>
      </c>
      <c r="J273" s="6" t="n">
        <v>126.9</v>
      </c>
      <c r="K273" s="6" t="n">
        <v>1920</v>
      </c>
      <c r="L273" s="6" t="n">
        <v>741</v>
      </c>
      <c r="M273" s="6" t="n">
        <f aca="false">IF(AND(ISNUMBER(K273),ISNUMBER(L273)),ROUND(K273/L273,2),"")</f>
        <v>2.59</v>
      </c>
      <c r="N273" s="9" t="s">
        <v>621</v>
      </c>
      <c r="O273" s="11" t="s">
        <v>5</v>
      </c>
      <c r="P273" s="7"/>
      <c r="Q273" s="7"/>
      <c r="R273" s="6" t="s">
        <v>622</v>
      </c>
    </row>
    <row r="274" customFormat="false" ht="29.85" hidden="false" customHeight="false" outlineLevel="0" collapsed="false">
      <c r="A274" s="6" t="n">
        <v>273</v>
      </c>
      <c r="B274" s="6" t="s">
        <v>24</v>
      </c>
      <c r="C274" s="10" t="s">
        <v>58</v>
      </c>
      <c r="D274" s="6" t="s">
        <v>51</v>
      </c>
      <c r="E274" s="6" t="s">
        <v>623</v>
      </c>
      <c r="F274" s="7" t="s">
        <v>322</v>
      </c>
      <c r="G274" s="6" t="s">
        <v>54</v>
      </c>
      <c r="H274" s="6" t="n">
        <v>200</v>
      </c>
      <c r="I274" s="6" t="n">
        <v>200</v>
      </c>
      <c r="J274" s="6" t="n">
        <v>338.4</v>
      </c>
      <c r="K274" s="6" t="n">
        <v>1630</v>
      </c>
      <c r="L274" s="6" t="n">
        <v>1920</v>
      </c>
      <c r="M274" s="6" t="n">
        <f aca="false">IF(AND(ISNUMBER(K274),ISNUMBER(L274)),ROUND(K274/L274,2),"")</f>
        <v>0.85</v>
      </c>
      <c r="N274" s="7" t="s">
        <v>244</v>
      </c>
      <c r="O274" s="8" t="s">
        <v>6</v>
      </c>
      <c r="P274" s="9" t="s">
        <v>594</v>
      </c>
      <c r="Q274" s="7"/>
      <c r="R274" s="6" t="s">
        <v>325</v>
      </c>
    </row>
    <row r="275" customFormat="false" ht="29.85" hidden="false" customHeight="false" outlineLevel="0" collapsed="false">
      <c r="A275" s="6" t="n">
        <v>274</v>
      </c>
      <c r="B275" s="6" t="s">
        <v>24</v>
      </c>
      <c r="C275" s="10" t="s">
        <v>58</v>
      </c>
      <c r="D275" s="6" t="s">
        <v>51</v>
      </c>
      <c r="E275" s="6" t="s">
        <v>624</v>
      </c>
      <c r="F275" s="7" t="s">
        <v>625</v>
      </c>
      <c r="G275" s="6" t="s">
        <v>54</v>
      </c>
      <c r="H275" s="6" t="n">
        <v>200</v>
      </c>
      <c r="I275" s="6" t="n">
        <v>200</v>
      </c>
      <c r="J275" s="6" t="n">
        <v>107.1</v>
      </c>
      <c r="K275" s="6" t="n">
        <v>1062</v>
      </c>
      <c r="L275" s="6" t="n">
        <v>1742</v>
      </c>
      <c r="M275" s="6" t="n">
        <f aca="false">IF(AND(ISNUMBER(K275),ISNUMBER(L275)),ROUND(K275/L275,2),"")</f>
        <v>0.61</v>
      </c>
      <c r="N275" s="7" t="s">
        <v>248</v>
      </c>
      <c r="O275" s="8" t="s">
        <v>6</v>
      </c>
      <c r="P275" s="9" t="s">
        <v>626</v>
      </c>
      <c r="Q275" s="7"/>
      <c r="R275" s="6" t="s">
        <v>627</v>
      </c>
    </row>
    <row r="276" customFormat="false" ht="15" hidden="false" customHeight="false" outlineLevel="0" collapsed="false">
      <c r="A276" s="6" t="n">
        <v>275</v>
      </c>
      <c r="B276" s="6" t="s">
        <v>24</v>
      </c>
      <c r="C276" s="10" t="s">
        <v>58</v>
      </c>
      <c r="D276" s="6" t="s">
        <v>51</v>
      </c>
      <c r="E276" s="6" t="s">
        <v>628</v>
      </c>
      <c r="F276" s="7" t="s">
        <v>250</v>
      </c>
      <c r="G276" s="6" t="s">
        <v>54</v>
      </c>
      <c r="H276" s="6" t="n">
        <v>200</v>
      </c>
      <c r="I276" s="6" t="n">
        <v>200</v>
      </c>
      <c r="J276" s="6" t="n">
        <v>93.2</v>
      </c>
      <c r="K276" s="6" t="n">
        <v>1376</v>
      </c>
      <c r="L276" s="6" t="n">
        <v>768</v>
      </c>
      <c r="M276" s="6" t="n">
        <f aca="false">IF(AND(ISNUMBER(K276),ISNUMBER(L276)),ROUND(K276/L276,2),"")</f>
        <v>1.79</v>
      </c>
      <c r="N276" s="9" t="s">
        <v>629</v>
      </c>
      <c r="O276" s="8" t="s">
        <v>6</v>
      </c>
      <c r="P276" s="9" t="s">
        <v>67</v>
      </c>
      <c r="Q276" s="7"/>
      <c r="R276" s="6" t="s">
        <v>252</v>
      </c>
    </row>
    <row r="277" customFormat="false" ht="15" hidden="false" customHeight="false" outlineLevel="0" collapsed="false">
      <c r="A277" s="6" t="n">
        <v>276</v>
      </c>
      <c r="B277" s="6" t="s">
        <v>24</v>
      </c>
      <c r="C277" s="10" t="s">
        <v>58</v>
      </c>
      <c r="D277" s="6" t="s">
        <v>51</v>
      </c>
      <c r="E277" s="6" t="s">
        <v>630</v>
      </c>
      <c r="F277" s="7" t="s">
        <v>631</v>
      </c>
      <c r="G277" s="6" t="s">
        <v>54</v>
      </c>
      <c r="H277" s="6" t="n">
        <v>200</v>
      </c>
      <c r="I277" s="6" t="n">
        <v>200</v>
      </c>
      <c r="J277" s="6" t="n">
        <v>307.1</v>
      </c>
      <c r="K277" s="6" t="n">
        <v>1672</v>
      </c>
      <c r="L277" s="6" t="n">
        <v>941</v>
      </c>
      <c r="M277" s="6" t="n">
        <f aca="false">IF(AND(ISNUMBER(K277),ISNUMBER(L277)),ROUND(K277/L277,2),"")</f>
        <v>1.78</v>
      </c>
      <c r="N277" s="9" t="s">
        <v>262</v>
      </c>
      <c r="O277" s="11" t="s">
        <v>5</v>
      </c>
      <c r="P277" s="7"/>
      <c r="Q277" s="7"/>
      <c r="R277" s="6" t="s">
        <v>632</v>
      </c>
    </row>
    <row r="278" customFormat="false" ht="15" hidden="false" customHeight="false" outlineLevel="0" collapsed="false">
      <c r="A278" s="6" t="n">
        <v>277</v>
      </c>
      <c r="B278" s="6" t="s">
        <v>24</v>
      </c>
      <c r="C278" s="10" t="s">
        <v>58</v>
      </c>
      <c r="D278" s="6" t="s">
        <v>51</v>
      </c>
      <c r="E278" s="6" t="s">
        <v>633</v>
      </c>
      <c r="F278" s="7" t="s">
        <v>634</v>
      </c>
      <c r="G278" s="6" t="s">
        <v>54</v>
      </c>
      <c r="H278" s="6" t="n">
        <v>200</v>
      </c>
      <c r="I278" s="6" t="n">
        <v>200</v>
      </c>
      <c r="J278" s="6" t="n">
        <v>103.8</v>
      </c>
      <c r="K278" s="6" t="n">
        <v>1614</v>
      </c>
      <c r="L278" s="6" t="n">
        <v>975</v>
      </c>
      <c r="M278" s="6" t="n">
        <f aca="false">IF(AND(ISNUMBER(K278),ISNUMBER(L278)),ROUND(K278/L278,2),"")</f>
        <v>1.66</v>
      </c>
      <c r="N278" s="9" t="s">
        <v>635</v>
      </c>
      <c r="O278" s="11" t="s">
        <v>5</v>
      </c>
      <c r="P278" s="7"/>
      <c r="Q278" s="7"/>
      <c r="R278" s="6" t="s">
        <v>636</v>
      </c>
    </row>
    <row r="279" customFormat="false" ht="15" hidden="false" customHeight="false" outlineLevel="0" collapsed="false">
      <c r="A279" s="6" t="n">
        <v>278</v>
      </c>
      <c r="B279" s="6" t="s">
        <v>24</v>
      </c>
      <c r="C279" s="10" t="s">
        <v>58</v>
      </c>
      <c r="D279" s="6" t="s">
        <v>51</v>
      </c>
      <c r="E279" s="6" t="s">
        <v>637</v>
      </c>
      <c r="F279" s="7" t="s">
        <v>638</v>
      </c>
      <c r="G279" s="6" t="s">
        <v>54</v>
      </c>
      <c r="H279" s="6" t="n">
        <v>200</v>
      </c>
      <c r="I279" s="6" t="n">
        <v>200</v>
      </c>
      <c r="J279" s="6" t="n">
        <v>189.4</v>
      </c>
      <c r="K279" s="6" t="n">
        <v>1672</v>
      </c>
      <c r="L279" s="6" t="n">
        <v>941</v>
      </c>
      <c r="M279" s="6" t="n">
        <f aca="false">IF(AND(ISNUMBER(K279),ISNUMBER(L279)),ROUND(K279/L279,2),"")</f>
        <v>1.78</v>
      </c>
      <c r="N279" s="9" t="s">
        <v>639</v>
      </c>
      <c r="O279" s="11" t="s">
        <v>5</v>
      </c>
      <c r="P279" s="7"/>
      <c r="Q279" s="7"/>
      <c r="R279" s="6" t="s">
        <v>640</v>
      </c>
    </row>
    <row r="280" customFormat="false" ht="15" hidden="false" customHeight="false" outlineLevel="0" collapsed="false">
      <c r="A280" s="6" t="n">
        <v>279</v>
      </c>
      <c r="B280" s="6" t="s">
        <v>24</v>
      </c>
      <c r="C280" s="10" t="s">
        <v>58</v>
      </c>
      <c r="D280" s="6" t="s">
        <v>51</v>
      </c>
      <c r="E280" s="6" t="s">
        <v>641</v>
      </c>
      <c r="F280" s="7" t="s">
        <v>642</v>
      </c>
      <c r="G280" s="6" t="s">
        <v>54</v>
      </c>
      <c r="H280" s="6" t="n">
        <v>200</v>
      </c>
      <c r="I280" s="6" t="n">
        <v>200</v>
      </c>
      <c r="J280" s="6" t="n">
        <v>130.3</v>
      </c>
      <c r="K280" s="6" t="n">
        <v>1536</v>
      </c>
      <c r="L280" s="6" t="n">
        <v>1024</v>
      </c>
      <c r="M280" s="6" t="n">
        <f aca="false">IF(AND(ISNUMBER(K280),ISNUMBER(L280)),ROUND(K280/L280,2),"")</f>
        <v>1.5</v>
      </c>
      <c r="N280" s="9" t="s">
        <v>643</v>
      </c>
      <c r="O280" s="11" t="s">
        <v>5</v>
      </c>
      <c r="P280" s="7"/>
      <c r="Q280" s="7"/>
      <c r="R280" s="6" t="s">
        <v>644</v>
      </c>
    </row>
    <row r="281" customFormat="false" ht="15" hidden="false" customHeight="false" outlineLevel="0" collapsed="false">
      <c r="A281" s="6" t="n">
        <v>280</v>
      </c>
      <c r="B281" s="6" t="s">
        <v>24</v>
      </c>
      <c r="C281" s="10" t="s">
        <v>58</v>
      </c>
      <c r="D281" s="6" t="s">
        <v>51</v>
      </c>
      <c r="E281" s="6" t="s">
        <v>645</v>
      </c>
      <c r="F281" s="7" t="s">
        <v>646</v>
      </c>
      <c r="G281" s="6" t="s">
        <v>54</v>
      </c>
      <c r="H281" s="6" t="n">
        <v>200</v>
      </c>
      <c r="I281" s="6" t="n">
        <v>200</v>
      </c>
      <c r="J281" s="6" t="n">
        <v>112.6</v>
      </c>
      <c r="K281" s="6" t="n">
        <v>1536</v>
      </c>
      <c r="L281" s="6" t="n">
        <v>1024</v>
      </c>
      <c r="M281" s="6" t="n">
        <f aca="false">IF(AND(ISNUMBER(K281),ISNUMBER(L281)),ROUND(K281/L281,2),"")</f>
        <v>1.5</v>
      </c>
      <c r="N281" s="9" t="s">
        <v>647</v>
      </c>
      <c r="O281" s="11" t="s">
        <v>5</v>
      </c>
      <c r="P281" s="7"/>
      <c r="Q281" s="7"/>
      <c r="R281" s="6" t="s">
        <v>648</v>
      </c>
    </row>
    <row r="282" customFormat="false" ht="15" hidden="false" customHeight="false" outlineLevel="0" collapsed="false">
      <c r="A282" s="6" t="n">
        <v>281</v>
      </c>
      <c r="B282" s="6" t="s">
        <v>24</v>
      </c>
      <c r="C282" s="10" t="s">
        <v>58</v>
      </c>
      <c r="D282" s="6" t="s">
        <v>51</v>
      </c>
      <c r="E282" s="6" t="s">
        <v>649</v>
      </c>
      <c r="F282" s="9" t="s">
        <v>650</v>
      </c>
      <c r="G282" s="6" t="s">
        <v>54</v>
      </c>
      <c r="H282" s="6" t="n">
        <v>200</v>
      </c>
      <c r="I282" s="6" t="n">
        <v>200</v>
      </c>
      <c r="J282" s="6" t="n">
        <v>121.5</v>
      </c>
      <c r="K282" s="6" t="n">
        <v>1672</v>
      </c>
      <c r="L282" s="6" t="n">
        <v>941</v>
      </c>
      <c r="M282" s="6" t="n">
        <f aca="false">IF(AND(ISNUMBER(K282),ISNUMBER(L282)),ROUND(K282/L282,2),"")</f>
        <v>1.78</v>
      </c>
      <c r="N282" s="9" t="s">
        <v>651</v>
      </c>
      <c r="O282" s="11" t="s">
        <v>5</v>
      </c>
      <c r="P282" s="7"/>
      <c r="Q282" s="7"/>
      <c r="R282" s="6" t="s">
        <v>652</v>
      </c>
    </row>
    <row r="283" customFormat="false" ht="15" hidden="false" customHeight="false" outlineLevel="0" collapsed="false">
      <c r="A283" s="6" t="n">
        <v>282</v>
      </c>
      <c r="B283" s="6" t="s">
        <v>24</v>
      </c>
      <c r="C283" s="10" t="s">
        <v>58</v>
      </c>
      <c r="D283" s="6" t="s">
        <v>51</v>
      </c>
      <c r="E283" s="6" t="s">
        <v>653</v>
      </c>
      <c r="F283" s="7" t="s">
        <v>654</v>
      </c>
      <c r="G283" s="6" t="s">
        <v>54</v>
      </c>
      <c r="H283" s="6" t="n">
        <v>200</v>
      </c>
      <c r="I283" s="6" t="n">
        <v>200</v>
      </c>
      <c r="J283" s="6" t="n">
        <v>107</v>
      </c>
      <c r="K283" s="6" t="n">
        <v>1672</v>
      </c>
      <c r="L283" s="6" t="n">
        <v>941</v>
      </c>
      <c r="M283" s="6" t="n">
        <f aca="false">IF(AND(ISNUMBER(K283),ISNUMBER(L283)),ROUND(K283/L283,2),"")</f>
        <v>1.78</v>
      </c>
      <c r="N283" s="9" t="s">
        <v>655</v>
      </c>
      <c r="O283" s="11" t="s">
        <v>5</v>
      </c>
      <c r="P283" s="7"/>
      <c r="Q283" s="7"/>
      <c r="R283" s="6" t="s">
        <v>656</v>
      </c>
    </row>
    <row r="284" customFormat="false" ht="15" hidden="false" customHeight="false" outlineLevel="0" collapsed="false">
      <c r="A284" s="6" t="n">
        <v>283</v>
      </c>
      <c r="B284" s="6" t="s">
        <v>24</v>
      </c>
      <c r="C284" s="10" t="s">
        <v>58</v>
      </c>
      <c r="D284" s="6" t="s">
        <v>51</v>
      </c>
      <c r="E284" s="6" t="s">
        <v>657</v>
      </c>
      <c r="F284" s="7" t="s">
        <v>658</v>
      </c>
      <c r="G284" s="6" t="s">
        <v>54</v>
      </c>
      <c r="H284" s="6" t="n">
        <v>200</v>
      </c>
      <c r="I284" s="6" t="n">
        <v>200</v>
      </c>
      <c r="J284" s="6" t="n">
        <v>106</v>
      </c>
      <c r="K284" s="6" t="n">
        <v>1672</v>
      </c>
      <c r="L284" s="6" t="n">
        <v>941</v>
      </c>
      <c r="M284" s="6" t="n">
        <f aca="false">IF(AND(ISNUMBER(K284),ISNUMBER(L284)),ROUND(K284/L284,2),"")</f>
        <v>1.78</v>
      </c>
      <c r="N284" s="9" t="s">
        <v>659</v>
      </c>
      <c r="O284" s="11" t="s">
        <v>5</v>
      </c>
      <c r="P284" s="7"/>
      <c r="Q284" s="7"/>
      <c r="R284" s="6" t="s">
        <v>660</v>
      </c>
    </row>
    <row r="285" customFormat="false" ht="15" hidden="false" customHeight="false" outlineLevel="0" collapsed="false">
      <c r="A285" s="6" t="n">
        <v>284</v>
      </c>
      <c r="B285" s="6" t="s">
        <v>24</v>
      </c>
      <c r="C285" s="10" t="s">
        <v>58</v>
      </c>
      <c r="D285" s="6" t="s">
        <v>51</v>
      </c>
      <c r="E285" s="6" t="s">
        <v>661</v>
      </c>
      <c r="F285" s="7" t="s">
        <v>662</v>
      </c>
      <c r="G285" s="6" t="s">
        <v>54</v>
      </c>
      <c r="H285" s="6" t="n">
        <v>200</v>
      </c>
      <c r="I285" s="6" t="n">
        <v>200</v>
      </c>
      <c r="J285" s="6" t="n">
        <v>148.8</v>
      </c>
      <c r="K285" s="6" t="n">
        <v>1672</v>
      </c>
      <c r="L285" s="6" t="n">
        <v>941</v>
      </c>
      <c r="M285" s="6" t="n">
        <f aca="false">IF(AND(ISNUMBER(K285),ISNUMBER(L285)),ROUND(K285/L285,2),"")</f>
        <v>1.78</v>
      </c>
      <c r="N285" s="7" t="s">
        <v>663</v>
      </c>
      <c r="O285" s="11" t="s">
        <v>5</v>
      </c>
      <c r="P285" s="7"/>
      <c r="Q285" s="7"/>
      <c r="R285" s="6" t="s">
        <v>664</v>
      </c>
    </row>
    <row r="286" customFormat="false" ht="15" hidden="false" customHeight="false" outlineLevel="0" collapsed="false">
      <c r="A286" s="6" t="n">
        <v>285</v>
      </c>
      <c r="B286" s="6" t="s">
        <v>24</v>
      </c>
      <c r="C286" s="10" t="s">
        <v>58</v>
      </c>
      <c r="D286" s="6" t="s">
        <v>51</v>
      </c>
      <c r="E286" s="6" t="s">
        <v>665</v>
      </c>
      <c r="F286" s="7" t="s">
        <v>666</v>
      </c>
      <c r="G286" s="6" t="s">
        <v>54</v>
      </c>
      <c r="H286" s="6" t="n">
        <v>200</v>
      </c>
      <c r="I286" s="6" t="n">
        <v>200</v>
      </c>
      <c r="J286" s="6" t="n">
        <v>157.5</v>
      </c>
      <c r="K286" s="6" t="n">
        <v>1672</v>
      </c>
      <c r="L286" s="6" t="n">
        <v>941</v>
      </c>
      <c r="M286" s="6" t="n">
        <f aca="false">IF(AND(ISNUMBER(K286),ISNUMBER(L286)),ROUND(K286/L286,2),"")</f>
        <v>1.78</v>
      </c>
      <c r="N286" s="9" t="s">
        <v>667</v>
      </c>
      <c r="O286" s="11" t="s">
        <v>5</v>
      </c>
      <c r="P286" s="7"/>
      <c r="Q286" s="7"/>
      <c r="R286" s="6" t="s">
        <v>668</v>
      </c>
    </row>
    <row r="287" customFormat="false" ht="15" hidden="false" customHeight="false" outlineLevel="0" collapsed="false">
      <c r="A287" s="6" t="n">
        <v>286</v>
      </c>
      <c r="B287" s="6" t="s">
        <v>24</v>
      </c>
      <c r="C287" s="10" t="s">
        <v>58</v>
      </c>
      <c r="D287" s="6" t="s">
        <v>51</v>
      </c>
      <c r="E287" s="6" t="s">
        <v>669</v>
      </c>
      <c r="F287" s="7" t="s">
        <v>670</v>
      </c>
      <c r="G287" s="6" t="s">
        <v>54</v>
      </c>
      <c r="H287" s="6" t="n">
        <v>200</v>
      </c>
      <c r="I287" s="6" t="n">
        <v>200</v>
      </c>
      <c r="J287" s="6" t="n">
        <v>116.6</v>
      </c>
      <c r="K287" s="6" t="n">
        <v>1672</v>
      </c>
      <c r="L287" s="6" t="n">
        <v>941</v>
      </c>
      <c r="M287" s="6" t="n">
        <f aca="false">IF(AND(ISNUMBER(K287),ISNUMBER(L287)),ROUND(K287/L287,2),"")</f>
        <v>1.78</v>
      </c>
      <c r="N287" s="9" t="s">
        <v>659</v>
      </c>
      <c r="O287" s="11" t="s">
        <v>5</v>
      </c>
      <c r="P287" s="7"/>
      <c r="Q287" s="7"/>
      <c r="R287" s="6" t="s">
        <v>671</v>
      </c>
    </row>
    <row r="288" customFormat="false" ht="23.85" hidden="false" customHeight="false" outlineLevel="0" collapsed="false">
      <c r="A288" s="6" t="n">
        <v>287</v>
      </c>
      <c r="B288" s="6" t="s">
        <v>24</v>
      </c>
      <c r="C288" s="10" t="s">
        <v>58</v>
      </c>
      <c r="D288" s="6" t="s">
        <v>51</v>
      </c>
      <c r="E288" s="6" t="s">
        <v>672</v>
      </c>
      <c r="F288" s="7" t="s">
        <v>673</v>
      </c>
      <c r="G288" s="6" t="s">
        <v>54</v>
      </c>
      <c r="H288" s="6" t="n">
        <v>200</v>
      </c>
      <c r="I288" s="6" t="n">
        <v>200</v>
      </c>
      <c r="J288" s="6" t="n">
        <v>170.7</v>
      </c>
      <c r="K288" s="6" t="n">
        <v>1672</v>
      </c>
      <c r="L288" s="6" t="n">
        <v>941</v>
      </c>
      <c r="M288" s="6" t="n">
        <f aca="false">IF(AND(ISNUMBER(K288),ISNUMBER(L288)),ROUND(K288/L288,2),"")</f>
        <v>1.78</v>
      </c>
      <c r="N288" s="9" t="s">
        <v>674</v>
      </c>
      <c r="O288" s="11" t="s">
        <v>5</v>
      </c>
      <c r="P288" s="7"/>
      <c r="Q288" s="7"/>
      <c r="R288" s="6" t="s">
        <v>675</v>
      </c>
    </row>
    <row r="289" customFormat="false" ht="15" hidden="false" customHeight="false" outlineLevel="0" collapsed="false">
      <c r="A289" s="6" t="n">
        <v>288</v>
      </c>
      <c r="B289" s="6" t="s">
        <v>24</v>
      </c>
      <c r="C289" s="10" t="s">
        <v>58</v>
      </c>
      <c r="D289" s="6" t="s">
        <v>51</v>
      </c>
      <c r="E289" s="6" t="s">
        <v>676</v>
      </c>
      <c r="F289" s="7" t="s">
        <v>677</v>
      </c>
      <c r="G289" s="6" t="s">
        <v>54</v>
      </c>
      <c r="H289" s="6" t="n">
        <v>200</v>
      </c>
      <c r="I289" s="6" t="n">
        <v>200</v>
      </c>
      <c r="J289" s="6" t="n">
        <v>155.6</v>
      </c>
      <c r="K289" s="6" t="n">
        <v>1672</v>
      </c>
      <c r="L289" s="6" t="n">
        <v>941</v>
      </c>
      <c r="M289" s="6" t="n">
        <f aca="false">IF(AND(ISNUMBER(K289),ISNUMBER(L289)),ROUND(K289/L289,2),"")</f>
        <v>1.78</v>
      </c>
      <c r="N289" s="9" t="s">
        <v>678</v>
      </c>
      <c r="O289" s="11" t="s">
        <v>5</v>
      </c>
      <c r="P289" s="7"/>
      <c r="Q289" s="7"/>
      <c r="R289" s="6" t="s">
        <v>679</v>
      </c>
    </row>
    <row r="290" customFormat="false" ht="23.85" hidden="false" customHeight="false" outlineLevel="0" collapsed="false">
      <c r="A290" s="6" t="n">
        <v>289</v>
      </c>
      <c r="B290" s="6" t="s">
        <v>24</v>
      </c>
      <c r="C290" s="10" t="s">
        <v>58</v>
      </c>
      <c r="D290" s="6" t="s">
        <v>51</v>
      </c>
      <c r="E290" s="6" t="s">
        <v>680</v>
      </c>
      <c r="F290" s="7" t="s">
        <v>681</v>
      </c>
      <c r="G290" s="6" t="s">
        <v>54</v>
      </c>
      <c r="H290" s="6" t="n">
        <v>200</v>
      </c>
      <c r="I290" s="6" t="n">
        <v>200</v>
      </c>
      <c r="J290" s="6" t="n">
        <v>172.7</v>
      </c>
      <c r="K290" s="6" t="n">
        <v>1672</v>
      </c>
      <c r="L290" s="6" t="n">
        <v>941</v>
      </c>
      <c r="M290" s="6" t="n">
        <f aca="false">IF(AND(ISNUMBER(K290),ISNUMBER(L290)),ROUND(K290/L290,2),"")</f>
        <v>1.78</v>
      </c>
      <c r="N290" s="9" t="s">
        <v>682</v>
      </c>
      <c r="O290" s="11" t="s">
        <v>5</v>
      </c>
      <c r="P290" s="7"/>
      <c r="Q290" s="7"/>
      <c r="R290" s="6" t="s">
        <v>683</v>
      </c>
    </row>
    <row r="291" customFormat="false" ht="23.85" hidden="false" customHeight="false" outlineLevel="0" collapsed="false">
      <c r="A291" s="6" t="n">
        <v>290</v>
      </c>
      <c r="B291" s="6" t="s">
        <v>24</v>
      </c>
      <c r="C291" s="10" t="s">
        <v>58</v>
      </c>
      <c r="D291" s="6" t="s">
        <v>51</v>
      </c>
      <c r="E291" s="6" t="s">
        <v>684</v>
      </c>
      <c r="F291" s="7" t="s">
        <v>685</v>
      </c>
      <c r="G291" s="6" t="s">
        <v>54</v>
      </c>
      <c r="H291" s="6" t="n">
        <v>200</v>
      </c>
      <c r="I291" s="6" t="n">
        <v>200</v>
      </c>
      <c r="J291" s="6" t="n">
        <v>131.5</v>
      </c>
      <c r="K291" s="6" t="n">
        <v>1672</v>
      </c>
      <c r="L291" s="6" t="n">
        <v>941</v>
      </c>
      <c r="M291" s="6" t="n">
        <f aca="false">IF(AND(ISNUMBER(K291),ISNUMBER(L291)),ROUND(K291/L291,2),"")</f>
        <v>1.78</v>
      </c>
      <c r="N291" s="9" t="s">
        <v>686</v>
      </c>
      <c r="O291" s="11" t="s">
        <v>5</v>
      </c>
      <c r="P291" s="7"/>
      <c r="Q291" s="7"/>
      <c r="R291" s="6" t="s">
        <v>687</v>
      </c>
    </row>
    <row r="292" customFormat="false" ht="15" hidden="false" customHeight="false" outlineLevel="0" collapsed="false">
      <c r="A292" s="6" t="n">
        <v>291</v>
      </c>
      <c r="B292" s="6" t="s">
        <v>24</v>
      </c>
      <c r="C292" s="10" t="s">
        <v>58</v>
      </c>
      <c r="D292" s="6" t="s">
        <v>51</v>
      </c>
      <c r="E292" s="6" t="s">
        <v>688</v>
      </c>
      <c r="F292" s="7" t="s">
        <v>689</v>
      </c>
      <c r="G292" s="6" t="s">
        <v>54</v>
      </c>
      <c r="H292" s="6" t="n">
        <v>200</v>
      </c>
      <c r="I292" s="6" t="n">
        <v>200</v>
      </c>
      <c r="J292" s="6" t="n">
        <v>139.2</v>
      </c>
      <c r="K292" s="6" t="n">
        <v>1672</v>
      </c>
      <c r="L292" s="6" t="n">
        <v>941</v>
      </c>
      <c r="M292" s="6" t="n">
        <f aca="false">IF(AND(ISNUMBER(K292),ISNUMBER(L292)),ROUND(K292/L292,2),"")</f>
        <v>1.78</v>
      </c>
      <c r="N292" s="9" t="s">
        <v>690</v>
      </c>
      <c r="O292" s="11" t="s">
        <v>5</v>
      </c>
      <c r="P292" s="7"/>
      <c r="Q292" s="7"/>
      <c r="R292" s="6" t="s">
        <v>691</v>
      </c>
    </row>
    <row r="293" customFormat="false" ht="15" hidden="false" customHeight="false" outlineLevel="0" collapsed="false">
      <c r="A293" s="6" t="n">
        <v>292</v>
      </c>
      <c r="B293" s="6" t="s">
        <v>24</v>
      </c>
      <c r="C293" s="10" t="s">
        <v>58</v>
      </c>
      <c r="D293" s="6" t="s">
        <v>51</v>
      </c>
      <c r="E293" s="6" t="s">
        <v>692</v>
      </c>
      <c r="F293" s="7" t="s">
        <v>693</v>
      </c>
      <c r="G293" s="6" t="s">
        <v>54</v>
      </c>
      <c r="H293" s="6" t="n">
        <v>200</v>
      </c>
      <c r="I293" s="6" t="n">
        <v>200</v>
      </c>
      <c r="J293" s="6" t="n">
        <v>269.5</v>
      </c>
      <c r="K293" s="6" t="n">
        <v>1672</v>
      </c>
      <c r="L293" s="6" t="n">
        <v>941</v>
      </c>
      <c r="M293" s="6" t="n">
        <f aca="false">IF(AND(ISNUMBER(K293),ISNUMBER(L293)),ROUND(K293/L293,2),"")</f>
        <v>1.78</v>
      </c>
      <c r="N293" s="7" t="s">
        <v>694</v>
      </c>
      <c r="O293" s="11" t="s">
        <v>5</v>
      </c>
      <c r="P293" s="7"/>
      <c r="Q293" s="7"/>
      <c r="R293" s="6" t="s">
        <v>695</v>
      </c>
    </row>
    <row r="294" customFormat="false" ht="15" hidden="false" customHeight="false" outlineLevel="0" collapsed="false">
      <c r="A294" s="6" t="n">
        <v>293</v>
      </c>
      <c r="B294" s="6" t="s">
        <v>24</v>
      </c>
      <c r="C294" s="10" t="s">
        <v>58</v>
      </c>
      <c r="D294" s="6" t="s">
        <v>51</v>
      </c>
      <c r="E294" s="6" t="s">
        <v>696</v>
      </c>
      <c r="F294" s="7" t="s">
        <v>697</v>
      </c>
      <c r="G294" s="6" t="s">
        <v>54</v>
      </c>
      <c r="H294" s="6" t="n">
        <v>200</v>
      </c>
      <c r="I294" s="6" t="n">
        <v>200</v>
      </c>
      <c r="J294" s="6" t="n">
        <v>131</v>
      </c>
      <c r="K294" s="6" t="n">
        <v>1672</v>
      </c>
      <c r="L294" s="6" t="n">
        <v>941</v>
      </c>
      <c r="M294" s="6" t="n">
        <f aca="false">IF(AND(ISNUMBER(K294),ISNUMBER(L294)),ROUND(K294/L294,2),"")</f>
        <v>1.78</v>
      </c>
      <c r="N294" s="9" t="s">
        <v>698</v>
      </c>
      <c r="O294" s="11" t="s">
        <v>5</v>
      </c>
      <c r="P294" s="7"/>
      <c r="Q294" s="7"/>
      <c r="R294" s="6" t="s">
        <v>699</v>
      </c>
    </row>
    <row r="295" customFormat="false" ht="15" hidden="false" customHeight="false" outlineLevel="0" collapsed="false">
      <c r="A295" s="6" t="n">
        <v>294</v>
      </c>
      <c r="B295" s="6" t="s">
        <v>24</v>
      </c>
      <c r="C295" s="10" t="s">
        <v>58</v>
      </c>
      <c r="D295" s="6" t="s">
        <v>51</v>
      </c>
      <c r="E295" s="6" t="s">
        <v>700</v>
      </c>
      <c r="F295" s="9" t="s">
        <v>701</v>
      </c>
      <c r="G295" s="6" t="s">
        <v>54</v>
      </c>
      <c r="H295" s="6" t="n">
        <v>200</v>
      </c>
      <c r="I295" s="6" t="n">
        <v>200</v>
      </c>
      <c r="J295" s="6" t="n">
        <v>130.4</v>
      </c>
      <c r="K295" s="6" t="n">
        <v>1377</v>
      </c>
      <c r="L295" s="6" t="n">
        <v>768</v>
      </c>
      <c r="M295" s="6" t="n">
        <f aca="false">IF(AND(ISNUMBER(K295),ISNUMBER(L295)),ROUND(K295/L295,2),"")</f>
        <v>1.79</v>
      </c>
      <c r="N295" s="9" t="s">
        <v>702</v>
      </c>
      <c r="O295" s="11" t="s">
        <v>5</v>
      </c>
      <c r="P295" s="7"/>
      <c r="Q295" s="7"/>
      <c r="R295" s="6" t="s">
        <v>703</v>
      </c>
    </row>
    <row r="296" customFormat="false" ht="58.2" hidden="false" customHeight="false" outlineLevel="0" collapsed="false">
      <c r="A296" s="6" t="n">
        <v>295</v>
      </c>
      <c r="B296" s="6" t="s">
        <v>24</v>
      </c>
      <c r="C296" s="10" t="s">
        <v>58</v>
      </c>
      <c r="D296" s="6" t="s">
        <v>51</v>
      </c>
      <c r="E296" s="6" t="s">
        <v>326</v>
      </c>
      <c r="F296" s="9" t="s">
        <v>123</v>
      </c>
      <c r="G296" s="6" t="s">
        <v>54</v>
      </c>
      <c r="H296" s="6" t="n">
        <v>200</v>
      </c>
      <c r="I296" s="6" t="n">
        <v>200</v>
      </c>
      <c r="J296" s="6" t="n">
        <v>185.2</v>
      </c>
      <c r="K296" s="6" t="n">
        <v>1672</v>
      </c>
      <c r="L296" s="6" t="n">
        <v>941</v>
      </c>
      <c r="M296" s="6" t="n">
        <f aca="false">IF(AND(ISNUMBER(K296),ISNUMBER(L296)),ROUND(K296/L296,2),"")</f>
        <v>1.78</v>
      </c>
      <c r="N296" s="9" t="s">
        <v>704</v>
      </c>
      <c r="O296" s="11" t="s">
        <v>5</v>
      </c>
      <c r="P296" s="7"/>
      <c r="Q296" s="7"/>
      <c r="R296" s="6" t="s">
        <v>125</v>
      </c>
    </row>
    <row r="297" customFormat="false" ht="44" hidden="false" customHeight="false" outlineLevel="0" collapsed="false">
      <c r="A297" s="6" t="n">
        <v>296</v>
      </c>
      <c r="B297" s="6" t="s">
        <v>24</v>
      </c>
      <c r="C297" s="10" t="s">
        <v>58</v>
      </c>
      <c r="D297" s="6" t="s">
        <v>51</v>
      </c>
      <c r="E297" s="6" t="s">
        <v>326</v>
      </c>
      <c r="F297" s="9" t="s">
        <v>129</v>
      </c>
      <c r="G297" s="6" t="s">
        <v>54</v>
      </c>
      <c r="H297" s="6" t="n">
        <v>200</v>
      </c>
      <c r="I297" s="6" t="n">
        <v>200</v>
      </c>
      <c r="J297" s="6" t="n">
        <v>316</v>
      </c>
      <c r="K297" s="6" t="n">
        <v>1672</v>
      </c>
      <c r="L297" s="6" t="n">
        <v>941</v>
      </c>
      <c r="M297" s="6" t="n">
        <f aca="false">IF(AND(ISNUMBER(K297),ISNUMBER(L297)),ROUND(K297/L297,2),"")</f>
        <v>1.78</v>
      </c>
      <c r="N297" s="9" t="s">
        <v>705</v>
      </c>
      <c r="O297" s="11" t="s">
        <v>5</v>
      </c>
      <c r="P297" s="7"/>
      <c r="Q297" s="7"/>
      <c r="R297" s="6" t="s">
        <v>131</v>
      </c>
    </row>
    <row r="298" customFormat="false" ht="44" hidden="false" customHeight="false" outlineLevel="0" collapsed="false">
      <c r="A298" s="6" t="n">
        <v>297</v>
      </c>
      <c r="B298" s="6" t="s">
        <v>24</v>
      </c>
      <c r="C298" s="10" t="s">
        <v>58</v>
      </c>
      <c r="D298" s="6" t="s">
        <v>51</v>
      </c>
      <c r="E298" s="6" t="s">
        <v>326</v>
      </c>
      <c r="F298" s="7" t="s">
        <v>706</v>
      </c>
      <c r="G298" s="6" t="s">
        <v>54</v>
      </c>
      <c r="H298" s="6" t="n">
        <v>200</v>
      </c>
      <c r="I298" s="6" t="n">
        <v>200</v>
      </c>
      <c r="J298" s="6" t="n">
        <v>64</v>
      </c>
      <c r="K298" s="6" t="n">
        <v>1047</v>
      </c>
      <c r="L298" s="6" t="n">
        <v>660</v>
      </c>
      <c r="M298" s="6" t="n">
        <f aca="false">IF(AND(ISNUMBER(K298),ISNUMBER(L298)),ROUND(K298/L298,2),"")</f>
        <v>1.59</v>
      </c>
      <c r="N298" s="9" t="s">
        <v>707</v>
      </c>
      <c r="O298" s="11" t="s">
        <v>5</v>
      </c>
      <c r="P298" s="7"/>
      <c r="Q298" s="7"/>
      <c r="R298" s="6" t="s">
        <v>708</v>
      </c>
    </row>
    <row r="299" customFormat="false" ht="15" hidden="false" customHeight="false" outlineLevel="0" collapsed="false">
      <c r="A299" s="6" t="n">
        <v>298</v>
      </c>
      <c r="B299" s="6" t="s">
        <v>24</v>
      </c>
      <c r="C299" s="10" t="s">
        <v>58</v>
      </c>
      <c r="D299" s="6" t="s">
        <v>51</v>
      </c>
      <c r="E299" s="6" t="s">
        <v>64</v>
      </c>
      <c r="F299" s="7" t="s">
        <v>167</v>
      </c>
      <c r="G299" s="6" t="s">
        <v>54</v>
      </c>
      <c r="H299" s="6" t="n">
        <v>200</v>
      </c>
      <c r="I299" s="6" t="n">
        <v>200</v>
      </c>
      <c r="J299" s="6" t="n">
        <v>150.2</v>
      </c>
      <c r="K299" s="6" t="n">
        <v>1915</v>
      </c>
      <c r="L299" s="6" t="n">
        <v>821</v>
      </c>
      <c r="M299" s="6" t="n">
        <f aca="false">IF(AND(ISNUMBER(K299),ISNUMBER(L299)),ROUND(K299/L299,2),"")</f>
        <v>2.33</v>
      </c>
      <c r="N299" s="9" t="s">
        <v>168</v>
      </c>
      <c r="O299" s="8" t="s">
        <v>6</v>
      </c>
      <c r="P299" s="9" t="s">
        <v>67</v>
      </c>
      <c r="Q299" s="7"/>
      <c r="R299" s="6" t="s">
        <v>169</v>
      </c>
    </row>
    <row r="300" customFormat="false" ht="15" hidden="false" customHeight="false" outlineLevel="0" collapsed="false">
      <c r="A300" s="6" t="n">
        <v>299</v>
      </c>
      <c r="B300" s="6" t="s">
        <v>24</v>
      </c>
      <c r="C300" s="6" t="s">
        <v>50</v>
      </c>
      <c r="D300" s="6" t="s">
        <v>51</v>
      </c>
      <c r="E300" s="6" t="s">
        <v>170</v>
      </c>
      <c r="F300" s="9" t="s">
        <v>171</v>
      </c>
      <c r="G300" s="6" t="s">
        <v>54</v>
      </c>
      <c r="H300" s="6" t="n">
        <v>200</v>
      </c>
      <c r="I300" s="6" t="n">
        <v>200</v>
      </c>
      <c r="J300" s="6" t="n">
        <v>51.5</v>
      </c>
      <c r="K300" s="6" t="n">
        <v>537</v>
      </c>
      <c r="L300" s="6" t="n">
        <v>403</v>
      </c>
      <c r="M300" s="6" t="n">
        <f aca="false">IF(AND(ISNUMBER(K300),ISNUMBER(L300)),ROUND(K300/L300,2),"")</f>
        <v>1.33</v>
      </c>
      <c r="N300" s="9" t="s">
        <v>172</v>
      </c>
      <c r="O300" s="11" t="s">
        <v>5</v>
      </c>
      <c r="P300" s="7"/>
      <c r="Q300" s="7"/>
      <c r="R300" s="6" t="s">
        <v>173</v>
      </c>
    </row>
    <row r="301" customFormat="false" ht="15" hidden="false" customHeight="false" outlineLevel="0" collapsed="false">
      <c r="A301" s="6" t="n">
        <v>300</v>
      </c>
      <c r="B301" s="6" t="s">
        <v>24</v>
      </c>
      <c r="C301" s="6" t="s">
        <v>50</v>
      </c>
      <c r="D301" s="6" t="s">
        <v>51</v>
      </c>
      <c r="E301" s="6" t="s">
        <v>174</v>
      </c>
      <c r="F301" s="7" t="s">
        <v>53</v>
      </c>
      <c r="G301" s="6" t="s">
        <v>54</v>
      </c>
      <c r="H301" s="6" t="n">
        <v>200</v>
      </c>
      <c r="I301" s="6" t="n">
        <v>200</v>
      </c>
      <c r="J301" s="6" t="n">
        <v>3.9</v>
      </c>
      <c r="K301" s="6" t="n">
        <v>442</v>
      </c>
      <c r="L301" s="6" t="n">
        <v>129</v>
      </c>
      <c r="M301" s="6" t="n">
        <f aca="false">IF(AND(ISNUMBER(K301),ISNUMBER(L301)),ROUND(K301/L301,2),"")</f>
        <v>3.43</v>
      </c>
      <c r="N301" s="7" t="s">
        <v>55</v>
      </c>
      <c r="O301" s="8" t="s">
        <v>6</v>
      </c>
      <c r="P301" s="9" t="s">
        <v>56</v>
      </c>
      <c r="Q301" s="7"/>
      <c r="R301" s="6" t="s">
        <v>57</v>
      </c>
    </row>
    <row r="302" customFormat="false" ht="15" hidden="false" customHeight="false" outlineLevel="0" collapsed="false">
      <c r="A302" s="6" t="n">
        <v>301</v>
      </c>
      <c r="B302" s="6" t="s">
        <v>24</v>
      </c>
      <c r="C302" s="6" t="s">
        <v>175</v>
      </c>
      <c r="D302" s="6" t="s">
        <v>176</v>
      </c>
      <c r="E302" s="6" t="s">
        <v>176</v>
      </c>
      <c r="F302" s="7" t="s">
        <v>709</v>
      </c>
      <c r="G302" s="6" t="s">
        <v>54</v>
      </c>
      <c r="H302" s="6" t="n">
        <v>200</v>
      </c>
      <c r="I302" s="6" t="s">
        <v>178</v>
      </c>
      <c r="J302" s="6" t="n">
        <v>2467.6</v>
      </c>
      <c r="K302" s="6" t="n">
        <v>1915</v>
      </c>
      <c r="L302" s="6" t="n">
        <v>821</v>
      </c>
      <c r="M302" s="6" t="n">
        <f aca="false">IF(AND(ISNUMBER(K302),ISNUMBER(L302)),ROUND(K302/L302,2),"")</f>
        <v>2.33</v>
      </c>
      <c r="N302" s="7" t="s">
        <v>179</v>
      </c>
      <c r="O302" s="8" t="s">
        <v>6</v>
      </c>
      <c r="P302" s="9" t="s">
        <v>180</v>
      </c>
      <c r="Q302" s="7"/>
      <c r="R302" s="6" t="s">
        <v>710</v>
      </c>
    </row>
    <row r="303" customFormat="false" ht="15" hidden="false" customHeight="false" outlineLevel="0" collapsed="false">
      <c r="A303" s="6" t="n">
        <v>302</v>
      </c>
      <c r="B303" s="6" t="s">
        <v>25</v>
      </c>
      <c r="C303" s="6" t="s">
        <v>50</v>
      </c>
      <c r="D303" s="6" t="s">
        <v>51</v>
      </c>
      <c r="E303" s="6" t="s">
        <v>52</v>
      </c>
      <c r="F303" s="7" t="s">
        <v>53</v>
      </c>
      <c r="G303" s="6" t="s">
        <v>54</v>
      </c>
      <c r="H303" s="6" t="n">
        <v>200</v>
      </c>
      <c r="I303" s="6" t="n">
        <v>200</v>
      </c>
      <c r="J303" s="6" t="n">
        <v>3.9</v>
      </c>
      <c r="K303" s="6" t="n">
        <v>442</v>
      </c>
      <c r="L303" s="6" t="n">
        <v>129</v>
      </c>
      <c r="M303" s="6" t="n">
        <f aca="false">IF(AND(ISNUMBER(K303),ISNUMBER(L303)),ROUND(K303/L303,2),"")</f>
        <v>3.43</v>
      </c>
      <c r="N303" s="7" t="s">
        <v>55</v>
      </c>
      <c r="O303" s="8" t="s">
        <v>6</v>
      </c>
      <c r="P303" s="9" t="s">
        <v>56</v>
      </c>
      <c r="Q303" s="7"/>
      <c r="R303" s="6" t="s">
        <v>57</v>
      </c>
    </row>
    <row r="304" customFormat="false" ht="15" hidden="false" customHeight="false" outlineLevel="0" collapsed="false">
      <c r="A304" s="6" t="n">
        <v>303</v>
      </c>
      <c r="B304" s="6" t="s">
        <v>25</v>
      </c>
      <c r="C304" s="10" t="s">
        <v>58</v>
      </c>
      <c r="D304" s="6" t="s">
        <v>51</v>
      </c>
      <c r="E304" s="6" t="s">
        <v>182</v>
      </c>
      <c r="F304" s="9" t="s">
        <v>123</v>
      </c>
      <c r="G304" s="6" t="s">
        <v>54</v>
      </c>
      <c r="H304" s="6" t="n">
        <v>200</v>
      </c>
      <c r="I304" s="6" t="n">
        <v>200</v>
      </c>
      <c r="J304" s="6" t="n">
        <v>185.2</v>
      </c>
      <c r="K304" s="6" t="n">
        <v>1672</v>
      </c>
      <c r="L304" s="6" t="n">
        <v>941</v>
      </c>
      <c r="M304" s="6" t="n">
        <f aca="false">IF(AND(ISNUMBER(K304),ISNUMBER(L304)),ROUND(K304/L304,2),"")</f>
        <v>1.78</v>
      </c>
      <c r="N304" s="9" t="s">
        <v>124</v>
      </c>
      <c r="O304" s="8" t="s">
        <v>6</v>
      </c>
      <c r="P304" s="9" t="s">
        <v>350</v>
      </c>
      <c r="Q304" s="7"/>
      <c r="R304" s="6" t="s">
        <v>125</v>
      </c>
    </row>
    <row r="305" customFormat="false" ht="44" hidden="false" customHeight="false" outlineLevel="0" collapsed="false">
      <c r="A305" s="6" t="n">
        <v>304</v>
      </c>
      <c r="B305" s="6" t="s">
        <v>25</v>
      </c>
      <c r="C305" s="10" t="s">
        <v>58</v>
      </c>
      <c r="D305" s="6" t="s">
        <v>51</v>
      </c>
      <c r="E305" s="6" t="s">
        <v>410</v>
      </c>
      <c r="F305" s="9" t="s">
        <v>123</v>
      </c>
      <c r="G305" s="6" t="s">
        <v>54</v>
      </c>
      <c r="H305" s="6" t="n">
        <v>200</v>
      </c>
      <c r="I305" s="6" t="n">
        <v>200</v>
      </c>
      <c r="J305" s="6" t="n">
        <v>185.2</v>
      </c>
      <c r="K305" s="6" t="n">
        <v>1672</v>
      </c>
      <c r="L305" s="6" t="n">
        <v>941</v>
      </c>
      <c r="M305" s="6" t="n">
        <f aca="false">IF(AND(ISNUMBER(K305),ISNUMBER(L305)),ROUND(K305/L305,2),"")</f>
        <v>1.78</v>
      </c>
      <c r="N305" s="9" t="s">
        <v>711</v>
      </c>
      <c r="O305" s="8" t="s">
        <v>6</v>
      </c>
      <c r="P305" s="9" t="s">
        <v>350</v>
      </c>
      <c r="Q305" s="7"/>
      <c r="R305" s="6" t="s">
        <v>125</v>
      </c>
    </row>
    <row r="306" customFormat="false" ht="15" hidden="false" customHeight="false" outlineLevel="0" collapsed="false">
      <c r="A306" s="6" t="n">
        <v>305</v>
      </c>
      <c r="B306" s="6" t="s">
        <v>25</v>
      </c>
      <c r="C306" s="10" t="s">
        <v>58</v>
      </c>
      <c r="D306" s="6" t="s">
        <v>51</v>
      </c>
      <c r="E306" s="6" t="s">
        <v>412</v>
      </c>
      <c r="F306" s="9" t="s">
        <v>712</v>
      </c>
      <c r="G306" s="6" t="s">
        <v>54</v>
      </c>
      <c r="H306" s="6" t="n">
        <v>200</v>
      </c>
      <c r="I306" s="6" t="n">
        <v>200</v>
      </c>
      <c r="J306" s="6" t="n">
        <v>1097.9</v>
      </c>
      <c r="K306" s="6" t="n">
        <v>3840</v>
      </c>
      <c r="L306" s="6" t="n">
        <v>2161</v>
      </c>
      <c r="M306" s="6" t="n">
        <f aca="false">IF(AND(ISNUMBER(K306),ISNUMBER(L306)),ROUND(K306/L306,2),"")</f>
        <v>1.78</v>
      </c>
      <c r="N306" s="9" t="s">
        <v>130</v>
      </c>
      <c r="O306" s="8" t="s">
        <v>6</v>
      </c>
      <c r="P306" s="9" t="s">
        <v>180</v>
      </c>
      <c r="Q306" s="7"/>
      <c r="R306" s="6" t="s">
        <v>713</v>
      </c>
    </row>
    <row r="307" customFormat="false" ht="15" hidden="false" customHeight="false" outlineLevel="0" collapsed="false">
      <c r="A307" s="6" t="n">
        <v>306</v>
      </c>
      <c r="B307" s="6" t="s">
        <v>25</v>
      </c>
      <c r="C307" s="10" t="s">
        <v>58</v>
      </c>
      <c r="D307" s="6" t="s">
        <v>51</v>
      </c>
      <c r="E307" s="6" t="s">
        <v>714</v>
      </c>
      <c r="F307" s="7" t="s">
        <v>706</v>
      </c>
      <c r="G307" s="6" t="s">
        <v>54</v>
      </c>
      <c r="H307" s="6" t="n">
        <v>200</v>
      </c>
      <c r="I307" s="6" t="n">
        <v>200</v>
      </c>
      <c r="J307" s="6" t="n">
        <v>64</v>
      </c>
      <c r="K307" s="6" t="n">
        <v>1047</v>
      </c>
      <c r="L307" s="6" t="n">
        <v>660</v>
      </c>
      <c r="M307" s="6" t="n">
        <f aca="false">IF(AND(ISNUMBER(K307),ISNUMBER(L307)),ROUND(K307/L307,2),"")</f>
        <v>1.59</v>
      </c>
      <c r="N307" s="9" t="s">
        <v>715</v>
      </c>
      <c r="O307" s="11" t="s">
        <v>5</v>
      </c>
      <c r="P307" s="7"/>
      <c r="Q307" s="7"/>
      <c r="R307" s="6" t="s">
        <v>708</v>
      </c>
    </row>
    <row r="308" customFormat="false" ht="15" hidden="false" customHeight="false" outlineLevel="0" collapsed="false">
      <c r="A308" s="6" t="n">
        <v>307</v>
      </c>
      <c r="B308" s="6" t="s">
        <v>25</v>
      </c>
      <c r="C308" s="10" t="s">
        <v>58</v>
      </c>
      <c r="D308" s="6" t="s">
        <v>51</v>
      </c>
      <c r="E308" s="6" t="s">
        <v>416</v>
      </c>
      <c r="F308" s="7" t="s">
        <v>716</v>
      </c>
      <c r="G308" s="6" t="s">
        <v>54</v>
      </c>
      <c r="H308" s="6" t="n">
        <v>200</v>
      </c>
      <c r="I308" s="6" t="n">
        <v>200</v>
      </c>
      <c r="J308" s="6" t="n">
        <v>43.8</v>
      </c>
      <c r="K308" s="6" t="n">
        <v>640</v>
      </c>
      <c r="L308" s="6" t="n">
        <v>560</v>
      </c>
      <c r="M308" s="6" t="n">
        <f aca="false">IF(AND(ISNUMBER(K308),ISNUMBER(L308)),ROUND(K308/L308,2),"")</f>
        <v>1.14</v>
      </c>
      <c r="N308" s="9" t="s">
        <v>651</v>
      </c>
      <c r="O308" s="11" t="s">
        <v>5</v>
      </c>
      <c r="P308" s="7"/>
      <c r="Q308" s="7"/>
      <c r="R308" s="6" t="s">
        <v>717</v>
      </c>
    </row>
    <row r="309" customFormat="false" ht="15" hidden="false" customHeight="false" outlineLevel="0" collapsed="false">
      <c r="A309" s="6" t="n">
        <v>308</v>
      </c>
      <c r="B309" s="6" t="s">
        <v>25</v>
      </c>
      <c r="C309" s="10" t="s">
        <v>58</v>
      </c>
      <c r="D309" s="6" t="s">
        <v>51</v>
      </c>
      <c r="E309" s="6" t="s">
        <v>416</v>
      </c>
      <c r="F309" s="7" t="s">
        <v>718</v>
      </c>
      <c r="G309" s="6" t="s">
        <v>54</v>
      </c>
      <c r="H309" s="6" t="n">
        <v>200</v>
      </c>
      <c r="I309" s="6" t="n">
        <v>200</v>
      </c>
      <c r="J309" s="6" t="n">
        <v>6.7</v>
      </c>
      <c r="K309" s="6" t="n">
        <v>280</v>
      </c>
      <c r="L309" s="6" t="n">
        <v>420</v>
      </c>
      <c r="M309" s="6" t="n">
        <f aca="false">IF(AND(ISNUMBER(K309),ISNUMBER(L309)),ROUND(K309/L309,2),"")</f>
        <v>0.67</v>
      </c>
      <c r="N309" s="9" t="s">
        <v>719</v>
      </c>
      <c r="O309" s="8" t="s">
        <v>6</v>
      </c>
      <c r="P309" s="9" t="s">
        <v>720</v>
      </c>
      <c r="Q309" s="7"/>
      <c r="R309" s="6" t="s">
        <v>721</v>
      </c>
    </row>
    <row r="310" customFormat="false" ht="15" hidden="false" customHeight="false" outlineLevel="0" collapsed="false">
      <c r="A310" s="6" t="n">
        <v>309</v>
      </c>
      <c r="B310" s="6" t="s">
        <v>25</v>
      </c>
      <c r="C310" s="10" t="s">
        <v>58</v>
      </c>
      <c r="D310" s="6" t="s">
        <v>51</v>
      </c>
      <c r="E310" s="6" t="s">
        <v>416</v>
      </c>
      <c r="F310" s="7" t="s">
        <v>722</v>
      </c>
      <c r="G310" s="6" t="s">
        <v>54</v>
      </c>
      <c r="H310" s="6" t="n">
        <v>200</v>
      </c>
      <c r="I310" s="6" t="n">
        <v>200</v>
      </c>
      <c r="J310" s="6" t="n">
        <v>13</v>
      </c>
      <c r="K310" s="6" t="n">
        <v>320</v>
      </c>
      <c r="L310" s="6" t="n">
        <v>740</v>
      </c>
      <c r="M310" s="6" t="n">
        <f aca="false">IF(AND(ISNUMBER(K310),ISNUMBER(L310)),ROUND(K310/L310,2),"")</f>
        <v>0.43</v>
      </c>
      <c r="N310" s="9" t="s">
        <v>659</v>
      </c>
      <c r="O310" s="8" t="s">
        <v>6</v>
      </c>
      <c r="P310" s="9" t="s">
        <v>723</v>
      </c>
      <c r="Q310" s="7"/>
      <c r="R310" s="6" t="s">
        <v>724</v>
      </c>
    </row>
    <row r="311" customFormat="false" ht="15" hidden="false" customHeight="false" outlineLevel="0" collapsed="false">
      <c r="A311" s="6" t="n">
        <v>310</v>
      </c>
      <c r="B311" s="6" t="s">
        <v>25</v>
      </c>
      <c r="C311" s="10" t="s">
        <v>58</v>
      </c>
      <c r="D311" s="6" t="s">
        <v>51</v>
      </c>
      <c r="E311" s="6" t="s">
        <v>416</v>
      </c>
      <c r="F311" s="7" t="s">
        <v>725</v>
      </c>
      <c r="G311" s="6" t="s">
        <v>54</v>
      </c>
      <c r="H311" s="6" t="n">
        <v>200</v>
      </c>
      <c r="I311" s="6" t="n">
        <v>200</v>
      </c>
      <c r="J311" s="6" t="n">
        <v>163.5</v>
      </c>
      <c r="K311" s="6" t="n">
        <v>1500</v>
      </c>
      <c r="L311" s="6" t="n">
        <v>880</v>
      </c>
      <c r="M311" s="6" t="n">
        <f aca="false">IF(AND(ISNUMBER(K311),ISNUMBER(L311)),ROUND(K311/L311,2),"")</f>
        <v>1.7</v>
      </c>
      <c r="N311" s="9" t="s">
        <v>667</v>
      </c>
      <c r="O311" s="11" t="s">
        <v>5</v>
      </c>
      <c r="P311" s="7"/>
      <c r="Q311" s="7"/>
      <c r="R311" s="6" t="s">
        <v>726</v>
      </c>
    </row>
    <row r="312" customFormat="false" ht="15" hidden="false" customHeight="false" outlineLevel="0" collapsed="false">
      <c r="A312" s="6" t="n">
        <v>311</v>
      </c>
      <c r="B312" s="6" t="s">
        <v>25</v>
      </c>
      <c r="C312" s="10" t="s">
        <v>58</v>
      </c>
      <c r="D312" s="6" t="s">
        <v>51</v>
      </c>
      <c r="E312" s="6" t="s">
        <v>312</v>
      </c>
      <c r="F312" s="7" t="s">
        <v>167</v>
      </c>
      <c r="G312" s="6" t="s">
        <v>54</v>
      </c>
      <c r="H312" s="6" t="n">
        <v>200</v>
      </c>
      <c r="I312" s="6" t="n">
        <v>200</v>
      </c>
      <c r="J312" s="6" t="n">
        <v>150.2</v>
      </c>
      <c r="K312" s="6" t="n">
        <v>1915</v>
      </c>
      <c r="L312" s="6" t="n">
        <v>821</v>
      </c>
      <c r="M312" s="6" t="n">
        <f aca="false">IF(AND(ISNUMBER(K312),ISNUMBER(L312)),ROUND(K312/L312,2),"")</f>
        <v>2.33</v>
      </c>
      <c r="N312" s="9" t="s">
        <v>168</v>
      </c>
      <c r="O312" s="8" t="s">
        <v>6</v>
      </c>
      <c r="P312" s="9" t="s">
        <v>67</v>
      </c>
      <c r="Q312" s="7"/>
      <c r="R312" s="6" t="s">
        <v>169</v>
      </c>
    </row>
    <row r="313" customFormat="false" ht="15" hidden="false" customHeight="false" outlineLevel="0" collapsed="false">
      <c r="A313" s="6" t="n">
        <v>312</v>
      </c>
      <c r="B313" s="6" t="s">
        <v>25</v>
      </c>
      <c r="C313" s="6" t="s">
        <v>50</v>
      </c>
      <c r="D313" s="6" t="s">
        <v>51</v>
      </c>
      <c r="E313" s="6" t="s">
        <v>170</v>
      </c>
      <c r="F313" s="9" t="s">
        <v>171</v>
      </c>
      <c r="G313" s="6" t="s">
        <v>54</v>
      </c>
      <c r="H313" s="6" t="n">
        <v>200</v>
      </c>
      <c r="I313" s="6" t="n">
        <v>200</v>
      </c>
      <c r="J313" s="6" t="n">
        <v>51.5</v>
      </c>
      <c r="K313" s="6" t="n">
        <v>537</v>
      </c>
      <c r="L313" s="6" t="n">
        <v>403</v>
      </c>
      <c r="M313" s="6" t="n">
        <f aca="false">IF(AND(ISNUMBER(K313),ISNUMBER(L313)),ROUND(K313/L313,2),"")</f>
        <v>1.33</v>
      </c>
      <c r="N313" s="9" t="s">
        <v>172</v>
      </c>
      <c r="O313" s="11" t="s">
        <v>5</v>
      </c>
      <c r="P313" s="7"/>
      <c r="Q313" s="7"/>
      <c r="R313" s="6" t="s">
        <v>173</v>
      </c>
    </row>
    <row r="314" customFormat="false" ht="15" hidden="false" customHeight="false" outlineLevel="0" collapsed="false">
      <c r="A314" s="6" t="n">
        <v>313</v>
      </c>
      <c r="B314" s="6" t="s">
        <v>25</v>
      </c>
      <c r="C314" s="6" t="s">
        <v>50</v>
      </c>
      <c r="D314" s="6" t="s">
        <v>51</v>
      </c>
      <c r="E314" s="6" t="s">
        <v>174</v>
      </c>
      <c r="F314" s="7" t="s">
        <v>53</v>
      </c>
      <c r="G314" s="6" t="s">
        <v>54</v>
      </c>
      <c r="H314" s="6" t="n">
        <v>200</v>
      </c>
      <c r="I314" s="6" t="n">
        <v>200</v>
      </c>
      <c r="J314" s="6" t="n">
        <v>3.9</v>
      </c>
      <c r="K314" s="6" t="n">
        <v>442</v>
      </c>
      <c r="L314" s="6" t="n">
        <v>129</v>
      </c>
      <c r="M314" s="6" t="n">
        <f aca="false">IF(AND(ISNUMBER(K314),ISNUMBER(L314)),ROUND(K314/L314,2),"")</f>
        <v>3.43</v>
      </c>
      <c r="N314" s="7" t="s">
        <v>55</v>
      </c>
      <c r="O314" s="8" t="s">
        <v>6</v>
      </c>
      <c r="P314" s="9" t="s">
        <v>56</v>
      </c>
      <c r="Q314" s="7"/>
      <c r="R314" s="6" t="s">
        <v>57</v>
      </c>
    </row>
    <row r="315" customFormat="false" ht="15" hidden="false" customHeight="false" outlineLevel="0" collapsed="false">
      <c r="A315" s="6" t="n">
        <v>314</v>
      </c>
      <c r="B315" s="6" t="s">
        <v>25</v>
      </c>
      <c r="C315" s="10" t="s">
        <v>58</v>
      </c>
      <c r="D315" s="6" t="s">
        <v>315</v>
      </c>
      <c r="E315" s="6" t="s">
        <v>316</v>
      </c>
      <c r="F315" s="7" t="s">
        <v>317</v>
      </c>
      <c r="G315" s="6" t="s">
        <v>54</v>
      </c>
      <c r="H315" s="6" t="n">
        <v>200</v>
      </c>
      <c r="I315" s="6" t="s">
        <v>178</v>
      </c>
      <c r="J315" s="6" t="n">
        <v>3199.9</v>
      </c>
      <c r="K315" s="6" t="n">
        <v>1983</v>
      </c>
      <c r="L315" s="6" t="n">
        <v>793</v>
      </c>
      <c r="M315" s="6" t="n">
        <f aca="false">IF(AND(ISNUMBER(K315),ISNUMBER(L315)),ROUND(K315/L315,2),"")</f>
        <v>2.5</v>
      </c>
      <c r="N315" s="7" t="s">
        <v>318</v>
      </c>
      <c r="O315" s="8" t="s">
        <v>6</v>
      </c>
      <c r="P315" s="9" t="s">
        <v>180</v>
      </c>
      <c r="Q315" s="7"/>
      <c r="R315" s="6" t="s">
        <v>319</v>
      </c>
    </row>
    <row r="316" customFormat="false" ht="15" hidden="false" customHeight="false" outlineLevel="0" collapsed="false">
      <c r="A316" s="6" t="n">
        <v>315</v>
      </c>
      <c r="B316" s="6" t="s">
        <v>26</v>
      </c>
      <c r="C316" s="6" t="s">
        <v>50</v>
      </c>
      <c r="D316" s="6" t="s">
        <v>51</v>
      </c>
      <c r="E316" s="6" t="s">
        <v>52</v>
      </c>
      <c r="F316" s="7" t="s">
        <v>53</v>
      </c>
      <c r="G316" s="6" t="s">
        <v>54</v>
      </c>
      <c r="H316" s="6" t="n">
        <v>200</v>
      </c>
      <c r="I316" s="6" t="n">
        <v>200</v>
      </c>
      <c r="J316" s="6" t="n">
        <v>3.9</v>
      </c>
      <c r="K316" s="6" t="n">
        <v>442</v>
      </c>
      <c r="L316" s="6" t="n">
        <v>129</v>
      </c>
      <c r="M316" s="6" t="n">
        <f aca="false">IF(AND(ISNUMBER(K316),ISNUMBER(L316)),ROUND(K316/L316,2),"")</f>
        <v>3.43</v>
      </c>
      <c r="N316" s="7" t="s">
        <v>55</v>
      </c>
      <c r="O316" s="8" t="s">
        <v>6</v>
      </c>
      <c r="P316" s="9" t="s">
        <v>56</v>
      </c>
      <c r="Q316" s="7"/>
      <c r="R316" s="6" t="s">
        <v>57</v>
      </c>
    </row>
    <row r="317" customFormat="false" ht="15" hidden="false" customHeight="false" outlineLevel="0" collapsed="false">
      <c r="A317" s="6" t="n">
        <v>316</v>
      </c>
      <c r="B317" s="6" t="s">
        <v>26</v>
      </c>
      <c r="C317" s="10" t="s">
        <v>58</v>
      </c>
      <c r="D317" s="6" t="s">
        <v>51</v>
      </c>
      <c r="E317" s="6" t="s">
        <v>182</v>
      </c>
      <c r="F317" s="7" t="s">
        <v>620</v>
      </c>
      <c r="G317" s="6" t="s">
        <v>54</v>
      </c>
      <c r="H317" s="6" t="n">
        <v>200</v>
      </c>
      <c r="I317" s="6" t="n">
        <v>200</v>
      </c>
      <c r="J317" s="6" t="n">
        <v>126.9</v>
      </c>
      <c r="K317" s="6" t="n">
        <v>1920</v>
      </c>
      <c r="L317" s="6" t="n">
        <v>741</v>
      </c>
      <c r="M317" s="6" t="n">
        <f aca="false">IF(AND(ISNUMBER(K317),ISNUMBER(L317)),ROUND(K317/L317,2),"")</f>
        <v>2.59</v>
      </c>
      <c r="N317" s="9" t="s">
        <v>727</v>
      </c>
      <c r="O317" s="8" t="s">
        <v>6</v>
      </c>
      <c r="P317" s="9" t="s">
        <v>350</v>
      </c>
      <c r="Q317" s="7"/>
      <c r="R317" s="6" t="s">
        <v>622</v>
      </c>
    </row>
    <row r="318" customFormat="false" ht="15" hidden="false" customHeight="false" outlineLevel="0" collapsed="false">
      <c r="A318" s="6" t="n">
        <v>317</v>
      </c>
      <c r="B318" s="6" t="s">
        <v>26</v>
      </c>
      <c r="C318" s="10" t="s">
        <v>58</v>
      </c>
      <c r="D318" s="6" t="s">
        <v>51</v>
      </c>
      <c r="E318" s="6" t="s">
        <v>186</v>
      </c>
      <c r="F318" s="7" t="s">
        <v>214</v>
      </c>
      <c r="G318" s="6" t="s">
        <v>54</v>
      </c>
      <c r="H318" s="6" t="n">
        <v>200</v>
      </c>
      <c r="I318" s="6" t="n">
        <v>200</v>
      </c>
      <c r="J318" s="6" t="n">
        <v>10.6</v>
      </c>
      <c r="K318" s="6" t="n">
        <v>500</v>
      </c>
      <c r="L318" s="6" t="n">
        <v>427</v>
      </c>
      <c r="M318" s="6" t="n">
        <f aca="false">IF(AND(ISNUMBER(K318),ISNUMBER(L318)),ROUND(K318/L318,2),"")</f>
        <v>1.17</v>
      </c>
      <c r="N318" s="9" t="s">
        <v>728</v>
      </c>
      <c r="O318" s="8" t="s">
        <v>6</v>
      </c>
      <c r="P318" s="9" t="s">
        <v>67</v>
      </c>
      <c r="Q318" s="7"/>
      <c r="R318" s="6" t="s">
        <v>215</v>
      </c>
    </row>
    <row r="319" customFormat="false" ht="15" hidden="false" customHeight="false" outlineLevel="0" collapsed="false">
      <c r="A319" s="6" t="n">
        <v>318</v>
      </c>
      <c r="B319" s="6" t="s">
        <v>26</v>
      </c>
      <c r="C319" s="10" t="s">
        <v>58</v>
      </c>
      <c r="D319" s="6" t="s">
        <v>51</v>
      </c>
      <c r="E319" s="6" t="s">
        <v>64</v>
      </c>
      <c r="F319" s="7" t="s">
        <v>729</v>
      </c>
      <c r="G319" s="6" t="s">
        <v>54</v>
      </c>
      <c r="H319" s="6" t="n">
        <v>200</v>
      </c>
      <c r="I319" s="6" t="n">
        <v>200</v>
      </c>
      <c r="J319" s="6" t="n">
        <v>7.8</v>
      </c>
      <c r="K319" s="6" t="n">
        <v>510</v>
      </c>
      <c r="L319" s="6" t="n">
        <v>480</v>
      </c>
      <c r="M319" s="6" t="n">
        <f aca="false">IF(AND(ISNUMBER(K319),ISNUMBER(L319)),ROUND(K319/L319,2),"")</f>
        <v>1.06</v>
      </c>
      <c r="N319" s="9" t="s">
        <v>730</v>
      </c>
      <c r="O319" s="11" t="s">
        <v>5</v>
      </c>
      <c r="P319" s="7"/>
      <c r="Q319" s="7"/>
      <c r="R319" s="6" t="s">
        <v>731</v>
      </c>
    </row>
    <row r="320" customFormat="false" ht="15" hidden="false" customHeight="false" outlineLevel="0" collapsed="false">
      <c r="A320" s="6" t="n">
        <v>319</v>
      </c>
      <c r="B320" s="6" t="s">
        <v>26</v>
      </c>
      <c r="C320" s="10" t="s">
        <v>58</v>
      </c>
      <c r="D320" s="6" t="s">
        <v>51</v>
      </c>
      <c r="E320" s="6" t="s">
        <v>191</v>
      </c>
      <c r="F320" s="7" t="s">
        <v>620</v>
      </c>
      <c r="G320" s="6" t="s">
        <v>54</v>
      </c>
      <c r="H320" s="6" t="n">
        <v>200</v>
      </c>
      <c r="I320" s="6" t="n">
        <v>200</v>
      </c>
      <c r="J320" s="6" t="n">
        <v>126.9</v>
      </c>
      <c r="K320" s="6" t="n">
        <v>1920</v>
      </c>
      <c r="L320" s="6" t="n">
        <v>741</v>
      </c>
      <c r="M320" s="6" t="n">
        <f aca="false">IF(AND(ISNUMBER(K320),ISNUMBER(L320)),ROUND(K320/L320,2),"")</f>
        <v>2.59</v>
      </c>
      <c r="N320" s="9" t="s">
        <v>732</v>
      </c>
      <c r="O320" s="8" t="s">
        <v>6</v>
      </c>
      <c r="P320" s="9" t="s">
        <v>350</v>
      </c>
      <c r="Q320" s="7"/>
      <c r="R320" s="6" t="s">
        <v>622</v>
      </c>
    </row>
    <row r="321" customFormat="false" ht="15" hidden="false" customHeight="false" outlineLevel="0" collapsed="false">
      <c r="A321" s="6" t="n">
        <v>320</v>
      </c>
      <c r="B321" s="6" t="s">
        <v>26</v>
      </c>
      <c r="C321" s="10" t="s">
        <v>58</v>
      </c>
      <c r="D321" s="6" t="s">
        <v>51</v>
      </c>
      <c r="E321" s="6" t="s">
        <v>195</v>
      </c>
      <c r="F321" s="7" t="s">
        <v>733</v>
      </c>
      <c r="G321" s="6" t="s">
        <v>54</v>
      </c>
      <c r="H321" s="6" t="n">
        <v>200</v>
      </c>
      <c r="I321" s="6" t="n">
        <v>200</v>
      </c>
      <c r="J321" s="6" t="n">
        <v>88.8</v>
      </c>
      <c r="K321" s="6" t="n">
        <v>1614</v>
      </c>
      <c r="L321" s="6" t="n">
        <v>975</v>
      </c>
      <c r="M321" s="6" t="n">
        <f aca="false">IF(AND(ISNUMBER(K321),ISNUMBER(L321)),ROUND(K321/L321,2),"")</f>
        <v>1.66</v>
      </c>
      <c r="N321" s="9" t="s">
        <v>734</v>
      </c>
      <c r="O321" s="8" t="s">
        <v>6</v>
      </c>
      <c r="P321" s="9" t="s">
        <v>67</v>
      </c>
      <c r="Q321" s="7"/>
      <c r="R321" s="6" t="s">
        <v>735</v>
      </c>
    </row>
    <row r="322" customFormat="false" ht="15" hidden="false" customHeight="false" outlineLevel="0" collapsed="false">
      <c r="A322" s="6" t="n">
        <v>321</v>
      </c>
      <c r="B322" s="6" t="s">
        <v>26</v>
      </c>
      <c r="C322" s="10" t="s">
        <v>58</v>
      </c>
      <c r="D322" s="6" t="s">
        <v>51</v>
      </c>
      <c r="E322" s="6" t="s">
        <v>200</v>
      </c>
      <c r="F322" s="7" t="s">
        <v>736</v>
      </c>
      <c r="G322" s="6" t="s">
        <v>54</v>
      </c>
      <c r="H322" s="6" t="n">
        <v>200</v>
      </c>
      <c r="I322" s="6" t="n">
        <v>200</v>
      </c>
      <c r="J322" s="6" t="n">
        <v>110.4</v>
      </c>
      <c r="K322" s="6" t="n">
        <v>1536</v>
      </c>
      <c r="L322" s="6" t="n">
        <v>1024</v>
      </c>
      <c r="M322" s="6" t="n">
        <f aca="false">IF(AND(ISNUMBER(K322),ISNUMBER(L322)),ROUND(K322/L322,2),"")</f>
        <v>1.5</v>
      </c>
      <c r="N322" s="9" t="s">
        <v>737</v>
      </c>
      <c r="O322" s="8" t="s">
        <v>6</v>
      </c>
      <c r="P322" s="9" t="s">
        <v>67</v>
      </c>
      <c r="Q322" s="7"/>
      <c r="R322" s="6" t="s">
        <v>738</v>
      </c>
    </row>
    <row r="323" customFormat="false" ht="15" hidden="false" customHeight="false" outlineLevel="0" collapsed="false">
      <c r="A323" s="6" t="n">
        <v>322</v>
      </c>
      <c r="B323" s="6" t="s">
        <v>26</v>
      </c>
      <c r="C323" s="10" t="s">
        <v>58</v>
      </c>
      <c r="D323" s="6" t="s">
        <v>51</v>
      </c>
      <c r="E323" s="6" t="s">
        <v>64</v>
      </c>
      <c r="F323" s="9" t="s">
        <v>157</v>
      </c>
      <c r="G323" s="6" t="s">
        <v>54</v>
      </c>
      <c r="H323" s="6" t="n">
        <v>200</v>
      </c>
      <c r="I323" s="6" t="n">
        <v>200</v>
      </c>
      <c r="J323" s="6" t="n">
        <v>3.7</v>
      </c>
      <c r="K323" s="6" t="n">
        <v>403</v>
      </c>
      <c r="L323" s="6" t="n">
        <v>190</v>
      </c>
      <c r="M323" s="6" t="n">
        <f aca="false">IF(AND(ISNUMBER(K323),ISNUMBER(L323)),ROUND(K323/L323,2),"")</f>
        <v>2.12</v>
      </c>
      <c r="N323" s="9" t="s">
        <v>739</v>
      </c>
      <c r="O323" s="8" t="s">
        <v>6</v>
      </c>
      <c r="P323" s="9" t="s">
        <v>67</v>
      </c>
      <c r="Q323" s="7"/>
      <c r="R323" s="6" t="s">
        <v>159</v>
      </c>
    </row>
    <row r="324" customFormat="false" ht="15" hidden="false" customHeight="false" outlineLevel="0" collapsed="false">
      <c r="A324" s="6" t="n">
        <v>323</v>
      </c>
      <c r="B324" s="6" t="s">
        <v>26</v>
      </c>
      <c r="C324" s="10" t="s">
        <v>58</v>
      </c>
      <c r="D324" s="6" t="s">
        <v>51</v>
      </c>
      <c r="E324" s="6" t="s">
        <v>64</v>
      </c>
      <c r="F324" s="7" t="s">
        <v>139</v>
      </c>
      <c r="G324" s="6" t="s">
        <v>54</v>
      </c>
      <c r="H324" s="6" t="n">
        <v>200</v>
      </c>
      <c r="I324" s="6" t="n">
        <v>200</v>
      </c>
      <c r="J324" s="6" t="n">
        <v>8.9</v>
      </c>
      <c r="K324" s="6" t="n">
        <v>180</v>
      </c>
      <c r="L324" s="6" t="n">
        <v>168</v>
      </c>
      <c r="M324" s="6" t="n">
        <f aca="false">IF(AND(ISNUMBER(K324),ISNUMBER(L324)),ROUND(K324/L324,2),"")</f>
        <v>1.07</v>
      </c>
      <c r="N324" s="9" t="s">
        <v>740</v>
      </c>
      <c r="O324" s="8" t="s">
        <v>6</v>
      </c>
      <c r="P324" s="9" t="s">
        <v>67</v>
      </c>
      <c r="Q324" s="7"/>
      <c r="R324" s="6" t="s">
        <v>141</v>
      </c>
    </row>
    <row r="325" customFormat="false" ht="15" hidden="false" customHeight="false" outlineLevel="0" collapsed="false">
      <c r="A325" s="6" t="n">
        <v>324</v>
      </c>
      <c r="B325" s="6" t="s">
        <v>26</v>
      </c>
      <c r="C325" s="10" t="s">
        <v>58</v>
      </c>
      <c r="D325" s="6" t="s">
        <v>51</v>
      </c>
      <c r="E325" s="6" t="s">
        <v>64</v>
      </c>
      <c r="F325" s="9" t="s">
        <v>148</v>
      </c>
      <c r="G325" s="6" t="s">
        <v>54</v>
      </c>
      <c r="H325" s="6" t="n">
        <v>200</v>
      </c>
      <c r="I325" s="6" t="n">
        <v>200</v>
      </c>
      <c r="J325" s="6" t="n">
        <v>19.1</v>
      </c>
      <c r="K325" s="6" t="n">
        <v>1887</v>
      </c>
      <c r="L325" s="6" t="n">
        <v>753</v>
      </c>
      <c r="M325" s="6" t="n">
        <f aca="false">IF(AND(ISNUMBER(K325),ISNUMBER(L325)),ROUND(K325/L325,2),"")</f>
        <v>2.51</v>
      </c>
      <c r="N325" s="9" t="s">
        <v>149</v>
      </c>
      <c r="O325" s="8" t="s">
        <v>6</v>
      </c>
      <c r="P325" s="9" t="s">
        <v>67</v>
      </c>
      <c r="Q325" s="7"/>
      <c r="R325" s="6" t="s">
        <v>150</v>
      </c>
    </row>
    <row r="326" customFormat="false" ht="15" hidden="false" customHeight="false" outlineLevel="0" collapsed="false">
      <c r="A326" s="6" t="n">
        <v>325</v>
      </c>
      <c r="B326" s="6" t="s">
        <v>26</v>
      </c>
      <c r="C326" s="10" t="s">
        <v>58</v>
      </c>
      <c r="D326" s="6" t="s">
        <v>51</v>
      </c>
      <c r="E326" s="6" t="s">
        <v>64</v>
      </c>
      <c r="F326" s="9" t="s">
        <v>154</v>
      </c>
      <c r="G326" s="6" t="s">
        <v>54</v>
      </c>
      <c r="H326" s="6" t="n">
        <v>200</v>
      </c>
      <c r="I326" s="6" t="n">
        <v>200</v>
      </c>
      <c r="J326" s="6" t="n">
        <v>3.6</v>
      </c>
      <c r="K326" s="6" t="n">
        <v>563</v>
      </c>
      <c r="L326" s="6" t="n">
        <v>240</v>
      </c>
      <c r="M326" s="6" t="n">
        <f aca="false">IF(AND(ISNUMBER(K326),ISNUMBER(L326)),ROUND(K326/L326,2),"")</f>
        <v>2.35</v>
      </c>
      <c r="N326" s="9" t="s">
        <v>155</v>
      </c>
      <c r="O326" s="8" t="s">
        <v>6</v>
      </c>
      <c r="P326" s="9" t="s">
        <v>67</v>
      </c>
      <c r="Q326" s="7"/>
      <c r="R326" s="6" t="s">
        <v>156</v>
      </c>
    </row>
    <row r="327" customFormat="false" ht="15" hidden="false" customHeight="false" outlineLevel="0" collapsed="false">
      <c r="A327" s="6" t="n">
        <v>326</v>
      </c>
      <c r="B327" s="6" t="s">
        <v>26</v>
      </c>
      <c r="C327" s="10" t="s">
        <v>58</v>
      </c>
      <c r="D327" s="6" t="s">
        <v>51</v>
      </c>
      <c r="E327" s="6" t="s">
        <v>64</v>
      </c>
      <c r="F327" s="7" t="s">
        <v>405</v>
      </c>
      <c r="G327" s="6" t="s">
        <v>54</v>
      </c>
      <c r="H327" s="6" t="n">
        <v>200</v>
      </c>
      <c r="I327" s="6" t="n">
        <v>200</v>
      </c>
      <c r="J327" s="6" t="n">
        <v>9.7</v>
      </c>
      <c r="K327" s="6" t="n">
        <v>800</v>
      </c>
      <c r="L327" s="6" t="n">
        <v>600</v>
      </c>
      <c r="M327" s="6" t="n">
        <f aca="false">IF(AND(ISNUMBER(K327),ISNUMBER(L327)),ROUND(K327/L327,2),"")</f>
        <v>1.33</v>
      </c>
      <c r="N327" s="7" t="s">
        <v>741</v>
      </c>
      <c r="O327" s="8" t="s">
        <v>6</v>
      </c>
      <c r="P327" s="9" t="s">
        <v>67</v>
      </c>
      <c r="Q327" s="7"/>
      <c r="R327" s="6" t="s">
        <v>407</v>
      </c>
    </row>
    <row r="328" customFormat="false" ht="44" hidden="false" customHeight="false" outlineLevel="0" collapsed="false">
      <c r="A328" s="6" t="n">
        <v>327</v>
      </c>
      <c r="B328" s="6" t="s">
        <v>26</v>
      </c>
      <c r="C328" s="10" t="s">
        <v>58</v>
      </c>
      <c r="D328" s="6" t="s">
        <v>51</v>
      </c>
      <c r="E328" s="6" t="s">
        <v>326</v>
      </c>
      <c r="F328" s="7" t="s">
        <v>116</v>
      </c>
      <c r="G328" s="6" t="s">
        <v>54</v>
      </c>
      <c r="H328" s="6" t="n">
        <v>200</v>
      </c>
      <c r="I328" s="6" t="n">
        <v>200</v>
      </c>
      <c r="J328" s="6" t="n">
        <v>391.9</v>
      </c>
      <c r="K328" s="6" t="n">
        <v>1672</v>
      </c>
      <c r="L328" s="6" t="n">
        <v>941</v>
      </c>
      <c r="M328" s="6" t="n">
        <f aca="false">IF(AND(ISNUMBER(K328),ISNUMBER(L328)),ROUND(K328/L328,2),"")</f>
        <v>1.78</v>
      </c>
      <c r="N328" s="9" t="s">
        <v>742</v>
      </c>
      <c r="O328" s="11" t="s">
        <v>5</v>
      </c>
      <c r="P328" s="7"/>
      <c r="Q328" s="7"/>
      <c r="R328" s="6" t="s">
        <v>118</v>
      </c>
    </row>
    <row r="329" customFormat="false" ht="29.85" hidden="false" customHeight="false" outlineLevel="0" collapsed="false">
      <c r="A329" s="6" t="n">
        <v>328</v>
      </c>
      <c r="B329" s="6" t="s">
        <v>26</v>
      </c>
      <c r="C329" s="10" t="s">
        <v>58</v>
      </c>
      <c r="D329" s="6" t="s">
        <v>51</v>
      </c>
      <c r="E329" s="6" t="s">
        <v>326</v>
      </c>
      <c r="F329" s="9" t="s">
        <v>129</v>
      </c>
      <c r="G329" s="6" t="s">
        <v>54</v>
      </c>
      <c r="H329" s="6" t="n">
        <v>200</v>
      </c>
      <c r="I329" s="6" t="n">
        <v>200</v>
      </c>
      <c r="J329" s="6" t="n">
        <v>316</v>
      </c>
      <c r="K329" s="6" t="n">
        <v>1672</v>
      </c>
      <c r="L329" s="6" t="n">
        <v>941</v>
      </c>
      <c r="M329" s="6" t="n">
        <f aca="false">IF(AND(ISNUMBER(K329),ISNUMBER(L329)),ROUND(K329/L329,2),"")</f>
        <v>1.78</v>
      </c>
      <c r="N329" s="9" t="s">
        <v>743</v>
      </c>
      <c r="O329" s="11" t="s">
        <v>5</v>
      </c>
      <c r="P329" s="7"/>
      <c r="Q329" s="7"/>
      <c r="R329" s="6" t="s">
        <v>131</v>
      </c>
    </row>
    <row r="330" customFormat="false" ht="15" hidden="false" customHeight="false" outlineLevel="0" collapsed="false">
      <c r="A330" s="6" t="n">
        <v>329</v>
      </c>
      <c r="B330" s="6" t="s">
        <v>26</v>
      </c>
      <c r="C330" s="10" t="s">
        <v>58</v>
      </c>
      <c r="D330" s="6" t="s">
        <v>51</v>
      </c>
      <c r="E330" s="6" t="s">
        <v>64</v>
      </c>
      <c r="F330" s="7" t="s">
        <v>167</v>
      </c>
      <c r="G330" s="6" t="s">
        <v>54</v>
      </c>
      <c r="H330" s="6" t="n">
        <v>200</v>
      </c>
      <c r="I330" s="6" t="n">
        <v>200</v>
      </c>
      <c r="J330" s="6" t="n">
        <v>150.2</v>
      </c>
      <c r="K330" s="6" t="n">
        <v>1915</v>
      </c>
      <c r="L330" s="6" t="n">
        <v>821</v>
      </c>
      <c r="M330" s="6" t="n">
        <f aca="false">IF(AND(ISNUMBER(K330),ISNUMBER(L330)),ROUND(K330/L330,2),"")</f>
        <v>2.33</v>
      </c>
      <c r="N330" s="9" t="s">
        <v>168</v>
      </c>
      <c r="O330" s="8" t="s">
        <v>6</v>
      </c>
      <c r="P330" s="9" t="s">
        <v>67</v>
      </c>
      <c r="Q330" s="7"/>
      <c r="R330" s="6" t="s">
        <v>169</v>
      </c>
    </row>
    <row r="331" customFormat="false" ht="15" hidden="false" customHeight="false" outlineLevel="0" collapsed="false">
      <c r="A331" s="6" t="n">
        <v>330</v>
      </c>
      <c r="B331" s="6" t="s">
        <v>26</v>
      </c>
      <c r="C331" s="6" t="s">
        <v>50</v>
      </c>
      <c r="D331" s="6" t="s">
        <v>51</v>
      </c>
      <c r="E331" s="6" t="s">
        <v>170</v>
      </c>
      <c r="F331" s="9" t="s">
        <v>171</v>
      </c>
      <c r="G331" s="6" t="s">
        <v>54</v>
      </c>
      <c r="H331" s="6" t="n">
        <v>200</v>
      </c>
      <c r="I331" s="6" t="n">
        <v>200</v>
      </c>
      <c r="J331" s="6" t="n">
        <v>51.5</v>
      </c>
      <c r="K331" s="6" t="n">
        <v>537</v>
      </c>
      <c r="L331" s="6" t="n">
        <v>403</v>
      </c>
      <c r="M331" s="6" t="n">
        <f aca="false">IF(AND(ISNUMBER(K331),ISNUMBER(L331)),ROUND(K331/L331,2),"")</f>
        <v>1.33</v>
      </c>
      <c r="N331" s="9" t="s">
        <v>172</v>
      </c>
      <c r="O331" s="11" t="s">
        <v>5</v>
      </c>
      <c r="P331" s="7"/>
      <c r="Q331" s="7"/>
      <c r="R331" s="6" t="s">
        <v>173</v>
      </c>
    </row>
    <row r="332" customFormat="false" ht="15" hidden="false" customHeight="false" outlineLevel="0" collapsed="false">
      <c r="A332" s="6" t="n">
        <v>331</v>
      </c>
      <c r="B332" s="6" t="s">
        <v>26</v>
      </c>
      <c r="C332" s="6" t="s">
        <v>50</v>
      </c>
      <c r="D332" s="6" t="s">
        <v>51</v>
      </c>
      <c r="E332" s="6" t="s">
        <v>174</v>
      </c>
      <c r="F332" s="7" t="s">
        <v>53</v>
      </c>
      <c r="G332" s="6" t="s">
        <v>54</v>
      </c>
      <c r="H332" s="6" t="n">
        <v>200</v>
      </c>
      <c r="I332" s="6" t="n">
        <v>200</v>
      </c>
      <c r="J332" s="6" t="n">
        <v>3.9</v>
      </c>
      <c r="K332" s="6" t="n">
        <v>442</v>
      </c>
      <c r="L332" s="6" t="n">
        <v>129</v>
      </c>
      <c r="M332" s="6" t="n">
        <f aca="false">IF(AND(ISNUMBER(K332),ISNUMBER(L332)),ROUND(K332/L332,2),"")</f>
        <v>3.43</v>
      </c>
      <c r="N332" s="7" t="s">
        <v>55</v>
      </c>
      <c r="O332" s="8" t="s">
        <v>6</v>
      </c>
      <c r="P332" s="9" t="s">
        <v>56</v>
      </c>
      <c r="Q332" s="7"/>
      <c r="R332" s="6" t="s">
        <v>57</v>
      </c>
    </row>
    <row r="333" customFormat="false" ht="15" hidden="false" customHeight="false" outlineLevel="0" collapsed="false">
      <c r="A333" s="6" t="n">
        <v>332</v>
      </c>
      <c r="B333" s="6" t="s">
        <v>26</v>
      </c>
      <c r="C333" s="6" t="s">
        <v>175</v>
      </c>
      <c r="D333" s="6" t="s">
        <v>176</v>
      </c>
      <c r="E333" s="6" t="s">
        <v>176</v>
      </c>
      <c r="F333" s="7" t="s">
        <v>744</v>
      </c>
      <c r="G333" s="6" t="s">
        <v>54</v>
      </c>
      <c r="H333" s="6" t="n">
        <v>200</v>
      </c>
      <c r="I333" s="6" t="s">
        <v>178</v>
      </c>
      <c r="J333" s="6" t="n">
        <v>21.3</v>
      </c>
      <c r="K333" s="6" t="n">
        <v>500</v>
      </c>
      <c r="L333" s="6" t="n">
        <v>427</v>
      </c>
      <c r="M333" s="6" t="n">
        <f aca="false">IF(AND(ISNUMBER(K333),ISNUMBER(L333)),ROUND(K333/L333,2),"")</f>
        <v>1.17</v>
      </c>
      <c r="N333" s="7" t="s">
        <v>179</v>
      </c>
      <c r="O333" s="11" t="s">
        <v>5</v>
      </c>
      <c r="P333" s="7"/>
      <c r="Q333" s="7"/>
      <c r="R333" s="6" t="s">
        <v>745</v>
      </c>
    </row>
    <row r="334" customFormat="false" ht="15" hidden="false" customHeight="false" outlineLevel="0" collapsed="false">
      <c r="A334" s="6" t="n">
        <v>333</v>
      </c>
      <c r="B334" s="6" t="s">
        <v>26</v>
      </c>
      <c r="C334" s="10" t="s">
        <v>58</v>
      </c>
      <c r="D334" s="6" t="s">
        <v>315</v>
      </c>
      <c r="E334" s="6" t="s">
        <v>316</v>
      </c>
      <c r="F334" s="7" t="s">
        <v>746</v>
      </c>
      <c r="G334" s="6" t="s">
        <v>54</v>
      </c>
      <c r="H334" s="6" t="n">
        <v>200</v>
      </c>
      <c r="I334" s="6" t="s">
        <v>178</v>
      </c>
      <c r="J334" s="6" t="n">
        <v>1432.6</v>
      </c>
      <c r="K334" s="6" t="n">
        <v>2019</v>
      </c>
      <c r="L334" s="6" t="n">
        <v>779</v>
      </c>
      <c r="M334" s="6" t="n">
        <f aca="false">IF(AND(ISNUMBER(K334),ISNUMBER(L334)),ROUND(K334/L334,2),"")</f>
        <v>2.59</v>
      </c>
      <c r="N334" s="7" t="s">
        <v>318</v>
      </c>
      <c r="O334" s="8" t="s">
        <v>6</v>
      </c>
      <c r="P334" s="9" t="s">
        <v>180</v>
      </c>
      <c r="Q334" s="7"/>
      <c r="R334" s="6" t="s">
        <v>747</v>
      </c>
    </row>
    <row r="335" customFormat="false" ht="15" hidden="false" customHeight="false" outlineLevel="0" collapsed="false">
      <c r="A335" s="6" t="n">
        <v>334</v>
      </c>
      <c r="B335" s="6" t="s">
        <v>27</v>
      </c>
      <c r="C335" s="6" t="s">
        <v>50</v>
      </c>
      <c r="D335" s="6" t="s">
        <v>51</v>
      </c>
      <c r="E335" s="6" t="s">
        <v>52</v>
      </c>
      <c r="F335" s="7" t="s">
        <v>53</v>
      </c>
      <c r="G335" s="6" t="s">
        <v>54</v>
      </c>
      <c r="H335" s="6" t="n">
        <v>200</v>
      </c>
      <c r="I335" s="6" t="n">
        <v>200</v>
      </c>
      <c r="J335" s="6" t="n">
        <v>3.9</v>
      </c>
      <c r="K335" s="6" t="n">
        <v>442</v>
      </c>
      <c r="L335" s="6" t="n">
        <v>129</v>
      </c>
      <c r="M335" s="6" t="n">
        <f aca="false">IF(AND(ISNUMBER(K335),ISNUMBER(L335)),ROUND(K335/L335,2),"")</f>
        <v>3.43</v>
      </c>
      <c r="N335" s="7" t="s">
        <v>55</v>
      </c>
      <c r="O335" s="8" t="s">
        <v>6</v>
      </c>
      <c r="P335" s="9" t="s">
        <v>56</v>
      </c>
      <c r="Q335" s="7"/>
      <c r="R335" s="6" t="s">
        <v>57</v>
      </c>
    </row>
    <row r="336" customFormat="false" ht="15" hidden="false" customHeight="false" outlineLevel="0" collapsed="false">
      <c r="A336" s="6" t="n">
        <v>335</v>
      </c>
      <c r="B336" s="6" t="s">
        <v>27</v>
      </c>
      <c r="C336" s="10" t="s">
        <v>58</v>
      </c>
      <c r="D336" s="6" t="s">
        <v>51</v>
      </c>
      <c r="E336" s="6" t="s">
        <v>59</v>
      </c>
      <c r="F336" s="7" t="s">
        <v>620</v>
      </c>
      <c r="G336" s="6" t="s">
        <v>54</v>
      </c>
      <c r="H336" s="6" t="n">
        <v>200</v>
      </c>
      <c r="I336" s="6" t="n">
        <v>200</v>
      </c>
      <c r="J336" s="6" t="n">
        <v>126.9</v>
      </c>
      <c r="K336" s="6" t="n">
        <v>1920</v>
      </c>
      <c r="L336" s="6" t="n">
        <v>741</v>
      </c>
      <c r="M336" s="6" t="n">
        <f aca="false">IF(AND(ISNUMBER(K336),ISNUMBER(L336)),ROUND(K336/L336,2),"")</f>
        <v>2.59</v>
      </c>
      <c r="N336" s="9" t="s">
        <v>748</v>
      </c>
      <c r="O336" s="8" t="s">
        <v>6</v>
      </c>
      <c r="P336" s="9" t="s">
        <v>350</v>
      </c>
      <c r="Q336" s="7"/>
      <c r="R336" s="6" t="s">
        <v>622</v>
      </c>
    </row>
    <row r="337" customFormat="false" ht="15" hidden="false" customHeight="false" outlineLevel="0" collapsed="false">
      <c r="A337" s="6" t="n">
        <v>336</v>
      </c>
      <c r="B337" s="6" t="s">
        <v>27</v>
      </c>
      <c r="C337" s="10" t="s">
        <v>58</v>
      </c>
      <c r="D337" s="6" t="s">
        <v>51</v>
      </c>
      <c r="E337" s="6" t="s">
        <v>333</v>
      </c>
      <c r="F337" s="7" t="s">
        <v>749</v>
      </c>
      <c r="G337" s="6" t="s">
        <v>54</v>
      </c>
      <c r="H337" s="6" t="n">
        <v>200</v>
      </c>
      <c r="I337" s="6" t="n">
        <v>200</v>
      </c>
      <c r="J337" s="6" t="n">
        <v>215.2</v>
      </c>
      <c r="K337" s="6" t="n">
        <v>1672</v>
      </c>
      <c r="L337" s="6" t="n">
        <v>941</v>
      </c>
      <c r="M337" s="6" t="n">
        <f aca="false">IF(AND(ISNUMBER(K337),ISNUMBER(L337)),ROUND(K337/L337,2),"")</f>
        <v>1.78</v>
      </c>
      <c r="N337" s="9" t="s">
        <v>750</v>
      </c>
      <c r="O337" s="8" t="s">
        <v>6</v>
      </c>
      <c r="P337" s="9" t="s">
        <v>350</v>
      </c>
      <c r="Q337" s="7"/>
      <c r="R337" s="6" t="s">
        <v>751</v>
      </c>
    </row>
    <row r="338" customFormat="false" ht="15" hidden="false" customHeight="false" outlineLevel="0" collapsed="false">
      <c r="A338" s="6" t="n">
        <v>337</v>
      </c>
      <c r="B338" s="6" t="s">
        <v>27</v>
      </c>
      <c r="C338" s="10" t="s">
        <v>58</v>
      </c>
      <c r="D338" s="6" t="s">
        <v>51</v>
      </c>
      <c r="E338" s="6" t="s">
        <v>336</v>
      </c>
      <c r="F338" s="7" t="s">
        <v>733</v>
      </c>
      <c r="G338" s="6" t="s">
        <v>54</v>
      </c>
      <c r="H338" s="6" t="n">
        <v>200</v>
      </c>
      <c r="I338" s="6" t="n">
        <v>200</v>
      </c>
      <c r="J338" s="6" t="n">
        <v>88.8</v>
      </c>
      <c r="K338" s="6" t="n">
        <v>1614</v>
      </c>
      <c r="L338" s="6" t="n">
        <v>975</v>
      </c>
      <c r="M338" s="6" t="n">
        <f aca="false">IF(AND(ISNUMBER(K338),ISNUMBER(L338)),ROUND(K338/L338,2),"")</f>
        <v>1.66</v>
      </c>
      <c r="N338" s="9" t="s">
        <v>338</v>
      </c>
      <c r="O338" s="8" t="s">
        <v>6</v>
      </c>
      <c r="P338" s="9" t="s">
        <v>67</v>
      </c>
      <c r="Q338" s="7"/>
      <c r="R338" s="6" t="s">
        <v>735</v>
      </c>
    </row>
    <row r="339" customFormat="false" ht="15" hidden="false" customHeight="false" outlineLevel="0" collapsed="false">
      <c r="A339" s="6" t="n">
        <v>338</v>
      </c>
      <c r="B339" s="6" t="s">
        <v>27</v>
      </c>
      <c r="C339" s="10" t="s">
        <v>58</v>
      </c>
      <c r="D339" s="6" t="s">
        <v>51</v>
      </c>
      <c r="E339" s="6" t="s">
        <v>340</v>
      </c>
      <c r="F339" s="7" t="s">
        <v>736</v>
      </c>
      <c r="G339" s="6" t="s">
        <v>54</v>
      </c>
      <c r="H339" s="6" t="n">
        <v>200</v>
      </c>
      <c r="I339" s="6" t="n">
        <v>200</v>
      </c>
      <c r="J339" s="6" t="n">
        <v>110.4</v>
      </c>
      <c r="K339" s="6" t="n">
        <v>1536</v>
      </c>
      <c r="L339" s="6" t="n">
        <v>1024</v>
      </c>
      <c r="M339" s="6" t="n">
        <f aca="false">IF(AND(ISNUMBER(K339),ISNUMBER(L339)),ROUND(K339/L339,2),"")</f>
        <v>1.5</v>
      </c>
      <c r="N339" s="9" t="s">
        <v>341</v>
      </c>
      <c r="O339" s="8" t="s">
        <v>6</v>
      </c>
      <c r="P339" s="9" t="s">
        <v>67</v>
      </c>
      <c r="Q339" s="7"/>
      <c r="R339" s="6" t="s">
        <v>738</v>
      </c>
    </row>
    <row r="340" customFormat="false" ht="15" hidden="false" customHeight="false" outlineLevel="0" collapsed="false">
      <c r="A340" s="6" t="n">
        <v>339</v>
      </c>
      <c r="B340" s="6" t="s">
        <v>27</v>
      </c>
      <c r="C340" s="10" t="s">
        <v>58</v>
      </c>
      <c r="D340" s="6" t="s">
        <v>51</v>
      </c>
      <c r="E340" s="6" t="s">
        <v>342</v>
      </c>
      <c r="F340" s="7" t="s">
        <v>752</v>
      </c>
      <c r="G340" s="6" t="s">
        <v>54</v>
      </c>
      <c r="H340" s="6" t="n">
        <v>200</v>
      </c>
      <c r="I340" s="6" t="n">
        <v>200</v>
      </c>
      <c r="J340" s="6" t="n">
        <v>97.4</v>
      </c>
      <c r="K340" s="6" t="n">
        <v>1536</v>
      </c>
      <c r="L340" s="6" t="n">
        <v>1024</v>
      </c>
      <c r="M340" s="6" t="n">
        <f aca="false">IF(AND(ISNUMBER(K340),ISNUMBER(L340)),ROUND(K340/L340,2),"")</f>
        <v>1.5</v>
      </c>
      <c r="N340" s="9" t="s">
        <v>343</v>
      </c>
      <c r="O340" s="8" t="s">
        <v>6</v>
      </c>
      <c r="P340" s="9" t="s">
        <v>67</v>
      </c>
      <c r="Q340" s="7"/>
      <c r="R340" s="6" t="s">
        <v>753</v>
      </c>
    </row>
    <row r="341" customFormat="false" ht="15" hidden="false" customHeight="false" outlineLevel="0" collapsed="false">
      <c r="A341" s="6" t="n">
        <v>340</v>
      </c>
      <c r="B341" s="6" t="s">
        <v>27</v>
      </c>
      <c r="C341" s="10" t="s">
        <v>58</v>
      </c>
      <c r="D341" s="6" t="s">
        <v>51</v>
      </c>
      <c r="E341" s="6" t="s">
        <v>345</v>
      </c>
      <c r="F341" s="7" t="s">
        <v>620</v>
      </c>
      <c r="G341" s="6" t="s">
        <v>54</v>
      </c>
      <c r="H341" s="6" t="n">
        <v>200</v>
      </c>
      <c r="I341" s="6" t="n">
        <v>200</v>
      </c>
      <c r="J341" s="6" t="n">
        <v>126.9</v>
      </c>
      <c r="K341" s="6" t="n">
        <v>1920</v>
      </c>
      <c r="L341" s="6" t="n">
        <v>741</v>
      </c>
      <c r="M341" s="6" t="n">
        <f aca="false">IF(AND(ISNUMBER(K341),ISNUMBER(L341)),ROUND(K341/L341,2),"")</f>
        <v>2.59</v>
      </c>
      <c r="N341" s="9" t="s">
        <v>346</v>
      </c>
      <c r="O341" s="8" t="s">
        <v>6</v>
      </c>
      <c r="P341" s="9" t="s">
        <v>350</v>
      </c>
      <c r="Q341" s="7"/>
      <c r="R341" s="6" t="s">
        <v>622</v>
      </c>
    </row>
    <row r="342" customFormat="false" ht="15" hidden="false" customHeight="false" outlineLevel="0" collapsed="false">
      <c r="A342" s="6" t="n">
        <v>341</v>
      </c>
      <c r="B342" s="6" t="s">
        <v>27</v>
      </c>
      <c r="C342" s="10" t="s">
        <v>58</v>
      </c>
      <c r="D342" s="6" t="s">
        <v>51</v>
      </c>
      <c r="E342" s="6" t="s">
        <v>347</v>
      </c>
      <c r="F342" s="7" t="s">
        <v>689</v>
      </c>
      <c r="G342" s="6" t="s">
        <v>54</v>
      </c>
      <c r="H342" s="6" t="n">
        <v>200</v>
      </c>
      <c r="I342" s="6" t="n">
        <v>200</v>
      </c>
      <c r="J342" s="6" t="n">
        <v>139.2</v>
      </c>
      <c r="K342" s="6" t="n">
        <v>1672</v>
      </c>
      <c r="L342" s="6" t="n">
        <v>941</v>
      </c>
      <c r="M342" s="6" t="n">
        <f aca="false">IF(AND(ISNUMBER(K342),ISNUMBER(L342)),ROUND(K342/L342,2),"")</f>
        <v>1.78</v>
      </c>
      <c r="N342" s="9" t="s">
        <v>349</v>
      </c>
      <c r="O342" s="11" t="s">
        <v>5</v>
      </c>
      <c r="P342" s="7"/>
      <c r="Q342" s="7"/>
      <c r="R342" s="6" t="s">
        <v>691</v>
      </c>
    </row>
    <row r="343" customFormat="false" ht="15" hidden="false" customHeight="false" outlineLevel="0" collapsed="false">
      <c r="A343" s="6" t="n">
        <v>342</v>
      </c>
      <c r="B343" s="6" t="s">
        <v>27</v>
      </c>
      <c r="C343" s="10" t="s">
        <v>58</v>
      </c>
      <c r="D343" s="6" t="s">
        <v>51</v>
      </c>
      <c r="E343" s="6" t="s">
        <v>352</v>
      </c>
      <c r="F343" s="7" t="s">
        <v>754</v>
      </c>
      <c r="G343" s="6" t="s">
        <v>54</v>
      </c>
      <c r="H343" s="6" t="n">
        <v>200</v>
      </c>
      <c r="I343" s="6" t="n">
        <v>200</v>
      </c>
      <c r="J343" s="6" t="n">
        <v>136.3</v>
      </c>
      <c r="K343" s="6" t="n">
        <v>1672</v>
      </c>
      <c r="L343" s="6" t="n">
        <v>941</v>
      </c>
      <c r="M343" s="6" t="n">
        <f aca="false">IF(AND(ISNUMBER(K343),ISNUMBER(L343)),ROUND(K343/L343,2),"")</f>
        <v>1.78</v>
      </c>
      <c r="N343" s="9" t="s">
        <v>354</v>
      </c>
      <c r="O343" s="11" t="s">
        <v>5</v>
      </c>
      <c r="P343" s="7"/>
      <c r="Q343" s="7"/>
      <c r="R343" s="6" t="s">
        <v>755</v>
      </c>
    </row>
    <row r="344" customFormat="false" ht="15" hidden="false" customHeight="false" outlineLevel="0" collapsed="false">
      <c r="A344" s="6" t="n">
        <v>343</v>
      </c>
      <c r="B344" s="6" t="s">
        <v>27</v>
      </c>
      <c r="C344" s="10" t="s">
        <v>58</v>
      </c>
      <c r="D344" s="6" t="s">
        <v>51</v>
      </c>
      <c r="E344" s="6" t="s">
        <v>443</v>
      </c>
      <c r="F344" s="7" t="s">
        <v>214</v>
      </c>
      <c r="G344" s="6" t="s">
        <v>54</v>
      </c>
      <c r="H344" s="6" t="n">
        <v>200</v>
      </c>
      <c r="I344" s="6" t="n">
        <v>200</v>
      </c>
      <c r="J344" s="6" t="n">
        <v>10.6</v>
      </c>
      <c r="K344" s="6" t="n">
        <v>500</v>
      </c>
      <c r="L344" s="6" t="n">
        <v>427</v>
      </c>
      <c r="M344" s="6" t="n">
        <f aca="false">IF(AND(ISNUMBER(K344),ISNUMBER(L344)),ROUND(K344/L344,2),"")</f>
        <v>1.17</v>
      </c>
      <c r="N344" s="9" t="s">
        <v>756</v>
      </c>
      <c r="O344" s="8" t="s">
        <v>6</v>
      </c>
      <c r="P344" s="9" t="s">
        <v>67</v>
      </c>
      <c r="Q344" s="7"/>
      <c r="R344" s="6" t="s">
        <v>215</v>
      </c>
    </row>
    <row r="345" customFormat="false" ht="15" hidden="false" customHeight="false" outlineLevel="0" collapsed="false">
      <c r="A345" s="6" t="n">
        <v>344</v>
      </c>
      <c r="B345" s="6" t="s">
        <v>27</v>
      </c>
      <c r="C345" s="10" t="s">
        <v>58</v>
      </c>
      <c r="D345" s="6" t="s">
        <v>51</v>
      </c>
      <c r="E345" s="6" t="s">
        <v>447</v>
      </c>
      <c r="F345" s="7" t="s">
        <v>749</v>
      </c>
      <c r="G345" s="6" t="s">
        <v>54</v>
      </c>
      <c r="H345" s="6" t="n">
        <v>200</v>
      </c>
      <c r="I345" s="6" t="n">
        <v>200</v>
      </c>
      <c r="J345" s="6" t="n">
        <v>215.2</v>
      </c>
      <c r="K345" s="6" t="n">
        <v>1672</v>
      </c>
      <c r="L345" s="6" t="n">
        <v>941</v>
      </c>
      <c r="M345" s="6" t="n">
        <f aca="false">IF(AND(ISNUMBER(K345),ISNUMBER(L345)),ROUND(K345/L345,2),"")</f>
        <v>1.78</v>
      </c>
      <c r="N345" s="9" t="s">
        <v>757</v>
      </c>
      <c r="O345" s="8" t="s">
        <v>6</v>
      </c>
      <c r="P345" s="9" t="s">
        <v>350</v>
      </c>
      <c r="Q345" s="7"/>
      <c r="R345" s="6" t="s">
        <v>751</v>
      </c>
    </row>
    <row r="346" customFormat="false" ht="15" hidden="false" customHeight="false" outlineLevel="0" collapsed="false">
      <c r="A346" s="6" t="n">
        <v>345</v>
      </c>
      <c r="B346" s="6" t="s">
        <v>27</v>
      </c>
      <c r="C346" s="10" t="s">
        <v>58</v>
      </c>
      <c r="D346" s="6" t="s">
        <v>51</v>
      </c>
      <c r="E346" s="6" t="s">
        <v>451</v>
      </c>
      <c r="F346" s="9" t="s">
        <v>171</v>
      </c>
      <c r="G346" s="6" t="s">
        <v>54</v>
      </c>
      <c r="H346" s="6" t="n">
        <v>200</v>
      </c>
      <c r="I346" s="6" t="n">
        <v>200</v>
      </c>
      <c r="J346" s="6" t="n">
        <v>51.5</v>
      </c>
      <c r="K346" s="6" t="n">
        <v>537</v>
      </c>
      <c r="L346" s="6" t="n">
        <v>403</v>
      </c>
      <c r="M346" s="6" t="n">
        <f aca="false">IF(AND(ISNUMBER(K346),ISNUMBER(L346)),ROUND(K346/L346,2),"")</f>
        <v>1.33</v>
      </c>
      <c r="N346" s="7" t="s">
        <v>758</v>
      </c>
      <c r="O346" s="8" t="s">
        <v>6</v>
      </c>
      <c r="P346" s="9" t="s">
        <v>67</v>
      </c>
      <c r="Q346" s="7"/>
      <c r="R346" s="6" t="s">
        <v>173</v>
      </c>
    </row>
    <row r="347" customFormat="false" ht="15" hidden="false" customHeight="false" outlineLevel="0" collapsed="false">
      <c r="A347" s="6" t="n">
        <v>346</v>
      </c>
      <c r="B347" s="6" t="s">
        <v>27</v>
      </c>
      <c r="C347" s="10" t="s">
        <v>58</v>
      </c>
      <c r="D347" s="6" t="s">
        <v>51</v>
      </c>
      <c r="E347" s="6" t="s">
        <v>389</v>
      </c>
      <c r="F347" s="7" t="s">
        <v>759</v>
      </c>
      <c r="G347" s="6" t="s">
        <v>54</v>
      </c>
      <c r="H347" s="6" t="n">
        <v>200</v>
      </c>
      <c r="I347" s="6" t="n">
        <v>200</v>
      </c>
      <c r="J347" s="6" t="n">
        <v>4.9</v>
      </c>
      <c r="K347" s="6" t="n">
        <v>463</v>
      </c>
      <c r="L347" s="6" t="n">
        <v>125</v>
      </c>
      <c r="M347" s="6" t="n">
        <f aca="false">IF(AND(ISNUMBER(K347),ISNUMBER(L347)),ROUND(K347/L347,2),"")</f>
        <v>3.7</v>
      </c>
      <c r="N347" s="7" t="s">
        <v>760</v>
      </c>
      <c r="O347" s="8" t="s">
        <v>6</v>
      </c>
      <c r="P347" s="9" t="s">
        <v>761</v>
      </c>
      <c r="Q347" s="7"/>
      <c r="R347" s="6" t="s">
        <v>762</v>
      </c>
    </row>
    <row r="348" customFormat="false" ht="15" hidden="false" customHeight="false" outlineLevel="0" collapsed="false">
      <c r="A348" s="6" t="n">
        <v>347</v>
      </c>
      <c r="B348" s="6" t="s">
        <v>27</v>
      </c>
      <c r="C348" s="10" t="s">
        <v>58</v>
      </c>
      <c r="D348" s="6" t="s">
        <v>51</v>
      </c>
      <c r="E348" s="6" t="s">
        <v>391</v>
      </c>
      <c r="F348" s="7" t="s">
        <v>763</v>
      </c>
      <c r="G348" s="6" t="s">
        <v>54</v>
      </c>
      <c r="H348" s="6" t="n">
        <v>200</v>
      </c>
      <c r="I348" s="6" t="n">
        <v>200</v>
      </c>
      <c r="J348" s="6" t="n">
        <v>7.7</v>
      </c>
      <c r="K348" s="6" t="n">
        <v>463</v>
      </c>
      <c r="L348" s="6" t="n">
        <v>136</v>
      </c>
      <c r="M348" s="6" t="n">
        <f aca="false">IF(AND(ISNUMBER(K348),ISNUMBER(L348)),ROUND(K348/L348,2),"")</f>
        <v>3.4</v>
      </c>
      <c r="N348" s="7" t="s">
        <v>764</v>
      </c>
      <c r="O348" s="8" t="s">
        <v>6</v>
      </c>
      <c r="P348" s="9" t="s">
        <v>765</v>
      </c>
      <c r="Q348" s="7"/>
      <c r="R348" s="6" t="s">
        <v>766</v>
      </c>
    </row>
    <row r="349" customFormat="false" ht="15" hidden="false" customHeight="false" outlineLevel="0" collapsed="false">
      <c r="A349" s="6" t="n">
        <v>348</v>
      </c>
      <c r="B349" s="6" t="s">
        <v>27</v>
      </c>
      <c r="C349" s="10" t="s">
        <v>58</v>
      </c>
      <c r="D349" s="6" t="s">
        <v>51</v>
      </c>
      <c r="E349" s="6" t="s">
        <v>393</v>
      </c>
      <c r="F349" s="7" t="s">
        <v>767</v>
      </c>
      <c r="G349" s="6" t="s">
        <v>54</v>
      </c>
      <c r="H349" s="6" t="n">
        <v>200</v>
      </c>
      <c r="I349" s="6" t="n">
        <v>200</v>
      </c>
      <c r="J349" s="6" t="n">
        <v>10.1</v>
      </c>
      <c r="K349" s="6" t="n">
        <v>463</v>
      </c>
      <c r="L349" s="6" t="n">
        <v>124</v>
      </c>
      <c r="M349" s="6" t="n">
        <f aca="false">IF(AND(ISNUMBER(K349),ISNUMBER(L349)),ROUND(K349/L349,2),"")</f>
        <v>3.73</v>
      </c>
      <c r="N349" s="9" t="s">
        <v>768</v>
      </c>
      <c r="O349" s="8" t="s">
        <v>6</v>
      </c>
      <c r="P349" s="9" t="s">
        <v>769</v>
      </c>
      <c r="Q349" s="7"/>
      <c r="R349" s="6" t="s">
        <v>770</v>
      </c>
    </row>
    <row r="350" customFormat="false" ht="23.85" hidden="false" customHeight="false" outlineLevel="0" collapsed="false">
      <c r="A350" s="6" t="n">
        <v>349</v>
      </c>
      <c r="B350" s="6" t="s">
        <v>27</v>
      </c>
      <c r="C350" s="10" t="s">
        <v>58</v>
      </c>
      <c r="D350" s="6" t="s">
        <v>51</v>
      </c>
      <c r="E350" s="6" t="s">
        <v>395</v>
      </c>
      <c r="F350" s="7" t="s">
        <v>771</v>
      </c>
      <c r="G350" s="6" t="s">
        <v>54</v>
      </c>
      <c r="H350" s="6" t="n">
        <v>200</v>
      </c>
      <c r="I350" s="6" t="n">
        <v>200</v>
      </c>
      <c r="J350" s="6" t="n">
        <v>13.9</v>
      </c>
      <c r="K350" s="6" t="n">
        <v>553</v>
      </c>
      <c r="L350" s="6" t="n">
        <v>195</v>
      </c>
      <c r="M350" s="6" t="n">
        <f aca="false">IF(AND(ISNUMBER(K350),ISNUMBER(L350)),ROUND(K350/L350,2),"")</f>
        <v>2.84</v>
      </c>
      <c r="N350" s="9" t="s">
        <v>772</v>
      </c>
      <c r="O350" s="8" t="s">
        <v>6</v>
      </c>
      <c r="P350" s="9" t="s">
        <v>773</v>
      </c>
      <c r="Q350" s="7"/>
      <c r="R350" s="6" t="s">
        <v>774</v>
      </c>
    </row>
    <row r="351" customFormat="false" ht="29.85" hidden="false" customHeight="false" outlineLevel="0" collapsed="false">
      <c r="A351" s="6" t="n">
        <v>350</v>
      </c>
      <c r="B351" s="6" t="s">
        <v>27</v>
      </c>
      <c r="C351" s="10" t="s">
        <v>58</v>
      </c>
      <c r="D351" s="6" t="s">
        <v>51</v>
      </c>
      <c r="E351" s="6" t="s">
        <v>775</v>
      </c>
      <c r="F351" s="9" t="s">
        <v>776</v>
      </c>
      <c r="G351" s="6" t="s">
        <v>54</v>
      </c>
      <c r="H351" s="6" t="n">
        <v>200</v>
      </c>
      <c r="I351" s="6" t="n">
        <v>200</v>
      </c>
      <c r="J351" s="6" t="n">
        <v>860.6</v>
      </c>
      <c r="K351" s="6" t="n">
        <v>3840</v>
      </c>
      <c r="L351" s="6" t="n">
        <v>2161</v>
      </c>
      <c r="M351" s="6" t="n">
        <f aca="false">IF(AND(ISNUMBER(K351),ISNUMBER(L351)),ROUND(K351/L351,2),"")</f>
        <v>1.78</v>
      </c>
      <c r="N351" s="7" t="s">
        <v>777</v>
      </c>
      <c r="O351" s="8" t="s">
        <v>6</v>
      </c>
      <c r="P351" s="9" t="s">
        <v>180</v>
      </c>
      <c r="Q351" s="7"/>
      <c r="R351" s="6" t="s">
        <v>778</v>
      </c>
    </row>
    <row r="352" customFormat="false" ht="15" hidden="false" customHeight="false" outlineLevel="0" collapsed="false">
      <c r="A352" s="6" t="n">
        <v>351</v>
      </c>
      <c r="B352" s="6" t="s">
        <v>27</v>
      </c>
      <c r="C352" s="10" t="s">
        <v>58</v>
      </c>
      <c r="D352" s="6" t="s">
        <v>51</v>
      </c>
      <c r="E352" s="6" t="s">
        <v>779</v>
      </c>
      <c r="F352" s="7" t="s">
        <v>780</v>
      </c>
      <c r="G352" s="6" t="s">
        <v>54</v>
      </c>
      <c r="H352" s="6" t="n">
        <v>200</v>
      </c>
      <c r="I352" s="6" t="n">
        <v>200</v>
      </c>
      <c r="J352" s="6" t="n">
        <v>1145.7</v>
      </c>
      <c r="K352" s="6" t="n">
        <v>3840</v>
      </c>
      <c r="L352" s="6" t="n">
        <v>2161</v>
      </c>
      <c r="M352" s="6" t="n">
        <f aca="false">IF(AND(ISNUMBER(K352),ISNUMBER(L352)),ROUND(K352/L352,2),"")</f>
        <v>1.78</v>
      </c>
      <c r="N352" s="9" t="s">
        <v>781</v>
      </c>
      <c r="O352" s="8" t="s">
        <v>6</v>
      </c>
      <c r="P352" s="9" t="s">
        <v>180</v>
      </c>
      <c r="Q352" s="7"/>
      <c r="R352" s="6" t="s">
        <v>782</v>
      </c>
    </row>
    <row r="353" customFormat="false" ht="29.85" hidden="false" customHeight="false" outlineLevel="0" collapsed="false">
      <c r="A353" s="6" t="n">
        <v>352</v>
      </c>
      <c r="B353" s="6" t="s">
        <v>27</v>
      </c>
      <c r="C353" s="10" t="s">
        <v>58</v>
      </c>
      <c r="D353" s="6" t="s">
        <v>51</v>
      </c>
      <c r="E353" s="6" t="s">
        <v>783</v>
      </c>
      <c r="F353" s="9" t="s">
        <v>784</v>
      </c>
      <c r="G353" s="6" t="s">
        <v>54</v>
      </c>
      <c r="H353" s="6" t="n">
        <v>200</v>
      </c>
      <c r="I353" s="6" t="n">
        <v>200</v>
      </c>
      <c r="J353" s="6" t="n">
        <v>1069.1</v>
      </c>
      <c r="K353" s="6" t="n">
        <v>3840</v>
      </c>
      <c r="L353" s="6" t="n">
        <v>2161</v>
      </c>
      <c r="M353" s="6" t="n">
        <f aca="false">IF(AND(ISNUMBER(K353),ISNUMBER(L353)),ROUND(K353/L353,2),"")</f>
        <v>1.78</v>
      </c>
      <c r="N353" s="9" t="s">
        <v>785</v>
      </c>
      <c r="O353" s="8" t="s">
        <v>6</v>
      </c>
      <c r="P353" s="9" t="s">
        <v>180</v>
      </c>
      <c r="Q353" s="7"/>
      <c r="R353" s="6" t="s">
        <v>786</v>
      </c>
    </row>
    <row r="354" customFormat="false" ht="15" hidden="false" customHeight="false" outlineLevel="0" collapsed="false">
      <c r="A354" s="6" t="n">
        <v>353</v>
      </c>
      <c r="B354" s="6" t="s">
        <v>27</v>
      </c>
      <c r="C354" s="10" t="s">
        <v>58</v>
      </c>
      <c r="D354" s="6" t="s">
        <v>51</v>
      </c>
      <c r="E354" s="6" t="s">
        <v>787</v>
      </c>
      <c r="F354" s="9" t="s">
        <v>788</v>
      </c>
      <c r="G354" s="6" t="s">
        <v>54</v>
      </c>
      <c r="H354" s="6" t="n">
        <v>200</v>
      </c>
      <c r="I354" s="6" t="n">
        <v>200</v>
      </c>
      <c r="J354" s="6" t="n">
        <v>1461.7</v>
      </c>
      <c r="K354" s="6" t="n">
        <v>3840</v>
      </c>
      <c r="L354" s="6" t="n">
        <v>2161</v>
      </c>
      <c r="M354" s="6" t="n">
        <f aca="false">IF(AND(ISNUMBER(K354),ISNUMBER(L354)),ROUND(K354/L354,2),"")</f>
        <v>1.78</v>
      </c>
      <c r="N354" s="9" t="s">
        <v>789</v>
      </c>
      <c r="O354" s="8" t="s">
        <v>6</v>
      </c>
      <c r="P354" s="9" t="s">
        <v>180</v>
      </c>
      <c r="Q354" s="7"/>
      <c r="R354" s="6" t="s">
        <v>790</v>
      </c>
    </row>
    <row r="355" customFormat="false" ht="15" hidden="false" customHeight="false" outlineLevel="0" collapsed="false">
      <c r="A355" s="6" t="n">
        <v>354</v>
      </c>
      <c r="B355" s="6" t="s">
        <v>27</v>
      </c>
      <c r="C355" s="10" t="s">
        <v>58</v>
      </c>
      <c r="D355" s="6" t="s">
        <v>51</v>
      </c>
      <c r="E355" s="6" t="s">
        <v>64</v>
      </c>
      <c r="F355" s="7" t="s">
        <v>167</v>
      </c>
      <c r="G355" s="6" t="s">
        <v>54</v>
      </c>
      <c r="H355" s="6" t="n">
        <v>200</v>
      </c>
      <c r="I355" s="6" t="n">
        <v>200</v>
      </c>
      <c r="J355" s="6" t="n">
        <v>150.2</v>
      </c>
      <c r="K355" s="6" t="n">
        <v>1915</v>
      </c>
      <c r="L355" s="6" t="n">
        <v>821</v>
      </c>
      <c r="M355" s="6" t="n">
        <f aca="false">IF(AND(ISNUMBER(K355),ISNUMBER(L355)),ROUND(K355/L355,2),"")</f>
        <v>2.33</v>
      </c>
      <c r="N355" s="9" t="s">
        <v>168</v>
      </c>
      <c r="O355" s="8" t="s">
        <v>6</v>
      </c>
      <c r="P355" s="9" t="s">
        <v>67</v>
      </c>
      <c r="Q355" s="7"/>
      <c r="R355" s="6" t="s">
        <v>169</v>
      </c>
    </row>
    <row r="356" customFormat="false" ht="15" hidden="false" customHeight="false" outlineLevel="0" collapsed="false">
      <c r="A356" s="6" t="n">
        <v>355</v>
      </c>
      <c r="B356" s="6" t="s">
        <v>27</v>
      </c>
      <c r="C356" s="6" t="s">
        <v>50</v>
      </c>
      <c r="D356" s="6" t="s">
        <v>51</v>
      </c>
      <c r="E356" s="6" t="s">
        <v>170</v>
      </c>
      <c r="F356" s="9" t="s">
        <v>171</v>
      </c>
      <c r="G356" s="6" t="s">
        <v>54</v>
      </c>
      <c r="H356" s="6" t="n">
        <v>200</v>
      </c>
      <c r="I356" s="6" t="n">
        <v>200</v>
      </c>
      <c r="J356" s="6" t="n">
        <v>51.5</v>
      </c>
      <c r="K356" s="6" t="n">
        <v>537</v>
      </c>
      <c r="L356" s="6" t="n">
        <v>403</v>
      </c>
      <c r="M356" s="6" t="n">
        <f aca="false">IF(AND(ISNUMBER(K356),ISNUMBER(L356)),ROUND(K356/L356,2),"")</f>
        <v>1.33</v>
      </c>
      <c r="N356" s="9" t="s">
        <v>172</v>
      </c>
      <c r="O356" s="11" t="s">
        <v>5</v>
      </c>
      <c r="P356" s="7"/>
      <c r="Q356" s="7"/>
      <c r="R356" s="6" t="s">
        <v>173</v>
      </c>
    </row>
    <row r="357" customFormat="false" ht="15" hidden="false" customHeight="false" outlineLevel="0" collapsed="false">
      <c r="A357" s="6" t="n">
        <v>356</v>
      </c>
      <c r="B357" s="6" t="s">
        <v>27</v>
      </c>
      <c r="C357" s="6" t="s">
        <v>50</v>
      </c>
      <c r="D357" s="6" t="s">
        <v>51</v>
      </c>
      <c r="E357" s="6" t="s">
        <v>174</v>
      </c>
      <c r="F357" s="7" t="s">
        <v>53</v>
      </c>
      <c r="G357" s="6" t="s">
        <v>54</v>
      </c>
      <c r="H357" s="6" t="n">
        <v>200</v>
      </c>
      <c r="I357" s="6" t="n">
        <v>200</v>
      </c>
      <c r="J357" s="6" t="n">
        <v>3.9</v>
      </c>
      <c r="K357" s="6" t="n">
        <v>442</v>
      </c>
      <c r="L357" s="6" t="n">
        <v>129</v>
      </c>
      <c r="M357" s="6" t="n">
        <f aca="false">IF(AND(ISNUMBER(K357),ISNUMBER(L357)),ROUND(K357/L357,2),"")</f>
        <v>3.43</v>
      </c>
      <c r="N357" s="7" t="s">
        <v>55</v>
      </c>
      <c r="O357" s="8" t="s">
        <v>6</v>
      </c>
      <c r="P357" s="9" t="s">
        <v>56</v>
      </c>
      <c r="Q357" s="7"/>
      <c r="R357" s="6" t="s">
        <v>57</v>
      </c>
    </row>
    <row r="358" customFormat="false" ht="15" hidden="false" customHeight="false" outlineLevel="0" collapsed="false">
      <c r="A358" s="6" t="n">
        <v>357</v>
      </c>
      <c r="B358" s="6" t="s">
        <v>27</v>
      </c>
      <c r="C358" s="6" t="s">
        <v>175</v>
      </c>
      <c r="D358" s="6" t="s">
        <v>176</v>
      </c>
      <c r="E358" s="6" t="s">
        <v>176</v>
      </c>
      <c r="F358" s="7" t="s">
        <v>746</v>
      </c>
      <c r="G358" s="6" t="s">
        <v>54</v>
      </c>
      <c r="H358" s="6" t="n">
        <v>200</v>
      </c>
      <c r="I358" s="6" t="s">
        <v>178</v>
      </c>
      <c r="J358" s="6" t="n">
        <v>1432.6</v>
      </c>
      <c r="K358" s="6" t="n">
        <v>2019</v>
      </c>
      <c r="L358" s="6" t="n">
        <v>779</v>
      </c>
      <c r="M358" s="6" t="n">
        <f aca="false">IF(AND(ISNUMBER(K358),ISNUMBER(L358)),ROUND(K358/L358,2),"")</f>
        <v>2.59</v>
      </c>
      <c r="N358" s="7" t="s">
        <v>179</v>
      </c>
      <c r="O358" s="8" t="s">
        <v>6</v>
      </c>
      <c r="P358" s="9" t="s">
        <v>180</v>
      </c>
      <c r="Q358" s="7"/>
      <c r="R358" s="6" t="s">
        <v>747</v>
      </c>
    </row>
    <row r="359" customFormat="false" ht="15" hidden="false" customHeight="false" outlineLevel="0" collapsed="false">
      <c r="A359" s="6" t="n">
        <v>358</v>
      </c>
      <c r="B359" s="6" t="s">
        <v>28</v>
      </c>
      <c r="C359" s="6" t="s">
        <v>50</v>
      </c>
      <c r="D359" s="6" t="s">
        <v>51</v>
      </c>
      <c r="E359" s="6" t="s">
        <v>52</v>
      </c>
      <c r="F359" s="7" t="s">
        <v>53</v>
      </c>
      <c r="G359" s="6" t="s">
        <v>54</v>
      </c>
      <c r="H359" s="6" t="n">
        <v>200</v>
      </c>
      <c r="I359" s="6" t="n">
        <v>200</v>
      </c>
      <c r="J359" s="6" t="n">
        <v>3.9</v>
      </c>
      <c r="K359" s="6" t="n">
        <v>442</v>
      </c>
      <c r="L359" s="6" t="n">
        <v>129</v>
      </c>
      <c r="M359" s="6" t="n">
        <f aca="false">IF(AND(ISNUMBER(K359),ISNUMBER(L359)),ROUND(K359/L359,2),"")</f>
        <v>3.43</v>
      </c>
      <c r="N359" s="7" t="s">
        <v>55</v>
      </c>
      <c r="O359" s="8" t="s">
        <v>6</v>
      </c>
      <c r="P359" s="9" t="s">
        <v>56</v>
      </c>
      <c r="Q359" s="7"/>
      <c r="R359" s="6" t="s">
        <v>57</v>
      </c>
    </row>
    <row r="360" customFormat="false" ht="15" hidden="false" customHeight="false" outlineLevel="0" collapsed="false">
      <c r="A360" s="6" t="n">
        <v>359</v>
      </c>
      <c r="B360" s="6" t="s">
        <v>28</v>
      </c>
      <c r="C360" s="10" t="s">
        <v>58</v>
      </c>
      <c r="D360" s="6" t="s">
        <v>51</v>
      </c>
      <c r="E360" s="6" t="s">
        <v>791</v>
      </c>
      <c r="F360" s="7" t="s">
        <v>620</v>
      </c>
      <c r="G360" s="6" t="s">
        <v>54</v>
      </c>
      <c r="H360" s="6" t="n">
        <v>200</v>
      </c>
      <c r="I360" s="6" t="n">
        <v>200</v>
      </c>
      <c r="J360" s="6" t="n">
        <v>126.9</v>
      </c>
      <c r="K360" s="6" t="n">
        <v>1920</v>
      </c>
      <c r="L360" s="6" t="n">
        <v>741</v>
      </c>
      <c r="M360" s="6" t="n">
        <f aca="false">IF(AND(ISNUMBER(K360),ISNUMBER(L360)),ROUND(K360/L360,2),"")</f>
        <v>2.59</v>
      </c>
      <c r="N360" s="9" t="s">
        <v>792</v>
      </c>
      <c r="O360" s="8" t="s">
        <v>6</v>
      </c>
      <c r="P360" s="9" t="s">
        <v>350</v>
      </c>
      <c r="Q360" s="7"/>
      <c r="R360" s="6" t="s">
        <v>622</v>
      </c>
    </row>
    <row r="361" customFormat="false" ht="15" hidden="false" customHeight="false" outlineLevel="0" collapsed="false">
      <c r="A361" s="6" t="n">
        <v>360</v>
      </c>
      <c r="B361" s="6" t="s">
        <v>28</v>
      </c>
      <c r="C361" s="10" t="s">
        <v>58</v>
      </c>
      <c r="D361" s="6" t="s">
        <v>51</v>
      </c>
      <c r="E361" s="6" t="s">
        <v>119</v>
      </c>
      <c r="F361" s="7" t="s">
        <v>620</v>
      </c>
      <c r="G361" s="6" t="s">
        <v>54</v>
      </c>
      <c r="H361" s="6" t="n">
        <v>200</v>
      </c>
      <c r="I361" s="6" t="n">
        <v>200</v>
      </c>
      <c r="J361" s="6" t="n">
        <v>126.9</v>
      </c>
      <c r="K361" s="6" t="n">
        <v>1920</v>
      </c>
      <c r="L361" s="6" t="n">
        <v>741</v>
      </c>
      <c r="M361" s="6" t="n">
        <f aca="false">IF(AND(ISNUMBER(K361),ISNUMBER(L361)),ROUND(K361/L361,2),"")</f>
        <v>2.59</v>
      </c>
      <c r="N361" s="9" t="s">
        <v>793</v>
      </c>
      <c r="O361" s="8" t="s">
        <v>6</v>
      </c>
      <c r="P361" s="9" t="s">
        <v>350</v>
      </c>
      <c r="Q361" s="7"/>
      <c r="R361" s="6" t="s">
        <v>622</v>
      </c>
    </row>
    <row r="362" customFormat="false" ht="15" hidden="false" customHeight="false" outlineLevel="0" collapsed="false">
      <c r="A362" s="6" t="n">
        <v>361</v>
      </c>
      <c r="B362" s="6" t="s">
        <v>28</v>
      </c>
      <c r="C362" s="6" t="s">
        <v>50</v>
      </c>
      <c r="D362" s="6" t="s">
        <v>51</v>
      </c>
      <c r="E362" s="6" t="s">
        <v>170</v>
      </c>
      <c r="F362" s="9" t="s">
        <v>171</v>
      </c>
      <c r="G362" s="6" t="s">
        <v>54</v>
      </c>
      <c r="H362" s="6" t="n">
        <v>200</v>
      </c>
      <c r="I362" s="6" t="n">
        <v>200</v>
      </c>
      <c r="J362" s="6" t="n">
        <v>51.5</v>
      </c>
      <c r="K362" s="6" t="n">
        <v>537</v>
      </c>
      <c r="L362" s="6" t="n">
        <v>403</v>
      </c>
      <c r="M362" s="6" t="n">
        <f aca="false">IF(AND(ISNUMBER(K362),ISNUMBER(L362)),ROUND(K362/L362,2),"")</f>
        <v>1.33</v>
      </c>
      <c r="N362" s="9" t="s">
        <v>172</v>
      </c>
      <c r="O362" s="11" t="s">
        <v>5</v>
      </c>
      <c r="P362" s="7"/>
      <c r="Q362" s="7"/>
      <c r="R362" s="6" t="s">
        <v>173</v>
      </c>
    </row>
    <row r="363" customFormat="false" ht="15" hidden="false" customHeight="false" outlineLevel="0" collapsed="false">
      <c r="A363" s="6" t="n">
        <v>362</v>
      </c>
      <c r="B363" s="6" t="s">
        <v>28</v>
      </c>
      <c r="C363" s="6" t="s">
        <v>50</v>
      </c>
      <c r="D363" s="6" t="s">
        <v>51</v>
      </c>
      <c r="E363" s="6" t="s">
        <v>174</v>
      </c>
      <c r="F363" s="7" t="s">
        <v>53</v>
      </c>
      <c r="G363" s="6" t="s">
        <v>54</v>
      </c>
      <c r="H363" s="6" t="n">
        <v>200</v>
      </c>
      <c r="I363" s="6" t="n">
        <v>200</v>
      </c>
      <c r="J363" s="6" t="n">
        <v>3.9</v>
      </c>
      <c r="K363" s="6" t="n">
        <v>442</v>
      </c>
      <c r="L363" s="6" t="n">
        <v>129</v>
      </c>
      <c r="M363" s="6" t="n">
        <f aca="false">IF(AND(ISNUMBER(K363),ISNUMBER(L363)),ROUND(K363/L363,2),"")</f>
        <v>3.43</v>
      </c>
      <c r="N363" s="7" t="s">
        <v>55</v>
      </c>
      <c r="O363" s="8" t="s">
        <v>6</v>
      </c>
      <c r="P363" s="9" t="s">
        <v>56</v>
      </c>
      <c r="Q363" s="7"/>
      <c r="R363" s="6" t="s">
        <v>57</v>
      </c>
    </row>
    <row r="364" customFormat="false" ht="15" hidden="false" customHeight="false" outlineLevel="0" collapsed="false">
      <c r="A364" s="6" t="n">
        <v>363</v>
      </c>
      <c r="B364" s="6" t="s">
        <v>28</v>
      </c>
      <c r="C364" s="6" t="s">
        <v>175</v>
      </c>
      <c r="D364" s="6" t="s">
        <v>176</v>
      </c>
      <c r="E364" s="6" t="s">
        <v>176</v>
      </c>
      <c r="F364" s="7" t="s">
        <v>746</v>
      </c>
      <c r="G364" s="6" t="s">
        <v>54</v>
      </c>
      <c r="H364" s="6" t="n">
        <v>200</v>
      </c>
      <c r="I364" s="6" t="s">
        <v>178</v>
      </c>
      <c r="J364" s="6" t="n">
        <v>1432.6</v>
      </c>
      <c r="K364" s="6" t="n">
        <v>2019</v>
      </c>
      <c r="L364" s="6" t="n">
        <v>779</v>
      </c>
      <c r="M364" s="6" t="n">
        <f aca="false">IF(AND(ISNUMBER(K364),ISNUMBER(L364)),ROUND(K364/L364,2),"")</f>
        <v>2.59</v>
      </c>
      <c r="N364" s="7" t="s">
        <v>179</v>
      </c>
      <c r="O364" s="8" t="s">
        <v>6</v>
      </c>
      <c r="P364" s="9" t="s">
        <v>180</v>
      </c>
      <c r="Q364" s="7"/>
      <c r="R364" s="6" t="s">
        <v>747</v>
      </c>
    </row>
    <row r="365" customFormat="false" ht="15" hidden="false" customHeight="false" outlineLevel="0" collapsed="false">
      <c r="A365" s="6" t="n">
        <v>364</v>
      </c>
      <c r="B365" s="6" t="s">
        <v>29</v>
      </c>
      <c r="C365" s="6" t="s">
        <v>50</v>
      </c>
      <c r="D365" s="6" t="s">
        <v>51</v>
      </c>
      <c r="E365" s="6" t="s">
        <v>52</v>
      </c>
      <c r="F365" s="7" t="s">
        <v>53</v>
      </c>
      <c r="G365" s="6" t="s">
        <v>54</v>
      </c>
      <c r="H365" s="6" t="n">
        <v>200</v>
      </c>
      <c r="I365" s="6" t="n">
        <v>200</v>
      </c>
      <c r="J365" s="6" t="n">
        <v>3.9</v>
      </c>
      <c r="K365" s="6" t="n">
        <v>442</v>
      </c>
      <c r="L365" s="6" t="n">
        <v>129</v>
      </c>
      <c r="M365" s="6" t="n">
        <f aca="false">IF(AND(ISNUMBER(K365),ISNUMBER(L365)),ROUND(K365/L365,2),"")</f>
        <v>3.43</v>
      </c>
      <c r="N365" s="7" t="s">
        <v>55</v>
      </c>
      <c r="O365" s="8" t="s">
        <v>6</v>
      </c>
      <c r="P365" s="9" t="s">
        <v>56</v>
      </c>
      <c r="Q365" s="7"/>
      <c r="R365" s="6" t="s">
        <v>57</v>
      </c>
    </row>
    <row r="366" customFormat="false" ht="15" hidden="false" customHeight="false" outlineLevel="0" collapsed="false">
      <c r="A366" s="6" t="n">
        <v>365</v>
      </c>
      <c r="B366" s="6" t="s">
        <v>29</v>
      </c>
      <c r="C366" s="10" t="s">
        <v>58</v>
      </c>
      <c r="D366" s="6" t="s">
        <v>51</v>
      </c>
      <c r="E366" s="6" t="s">
        <v>59</v>
      </c>
      <c r="F366" s="7" t="s">
        <v>794</v>
      </c>
      <c r="G366" s="6" t="s">
        <v>54</v>
      </c>
      <c r="H366" s="6" t="n">
        <v>200</v>
      </c>
      <c r="I366" s="6" t="n">
        <v>200</v>
      </c>
      <c r="J366" s="6" t="n">
        <v>209</v>
      </c>
      <c r="K366" s="6" t="n">
        <v>1920</v>
      </c>
      <c r="L366" s="6" t="n">
        <v>658</v>
      </c>
      <c r="M366" s="6" t="n">
        <f aca="false">IF(AND(ISNUMBER(K366),ISNUMBER(L366)),ROUND(K366/L366,2),"")</f>
        <v>2.92</v>
      </c>
      <c r="N366" s="9" t="s">
        <v>795</v>
      </c>
      <c r="O366" s="8" t="s">
        <v>6</v>
      </c>
      <c r="P366" s="9" t="s">
        <v>469</v>
      </c>
      <c r="Q366" s="7"/>
      <c r="R366" s="6" t="s">
        <v>796</v>
      </c>
    </row>
    <row r="367" customFormat="false" ht="15" hidden="false" customHeight="false" outlineLevel="0" collapsed="false">
      <c r="A367" s="6" t="n">
        <v>366</v>
      </c>
      <c r="B367" s="6" t="s">
        <v>29</v>
      </c>
      <c r="C367" s="10" t="s">
        <v>58</v>
      </c>
      <c r="D367" s="6" t="s">
        <v>51</v>
      </c>
      <c r="E367" s="6" t="s">
        <v>333</v>
      </c>
      <c r="F367" s="9" t="s">
        <v>284</v>
      </c>
      <c r="G367" s="6" t="s">
        <v>54</v>
      </c>
      <c r="H367" s="6" t="n">
        <v>200</v>
      </c>
      <c r="I367" s="6" t="n">
        <v>200</v>
      </c>
      <c r="J367" s="6" t="n">
        <v>91.6</v>
      </c>
      <c r="K367" s="6" t="n">
        <v>1376</v>
      </c>
      <c r="L367" s="6" t="n">
        <v>768</v>
      </c>
      <c r="M367" s="6" t="n">
        <f aca="false">IF(AND(ISNUMBER(K367),ISNUMBER(L367)),ROUND(K367/L367,2),"")</f>
        <v>1.79</v>
      </c>
      <c r="N367" s="9" t="s">
        <v>797</v>
      </c>
      <c r="O367" s="11" t="s">
        <v>5</v>
      </c>
      <c r="P367" s="7"/>
      <c r="Q367" s="7"/>
      <c r="R367" s="6" t="s">
        <v>286</v>
      </c>
    </row>
    <row r="368" customFormat="false" ht="15" hidden="false" customHeight="false" outlineLevel="0" collapsed="false">
      <c r="A368" s="6" t="n">
        <v>367</v>
      </c>
      <c r="B368" s="6" t="s">
        <v>29</v>
      </c>
      <c r="C368" s="10" t="s">
        <v>58</v>
      </c>
      <c r="D368" s="6" t="s">
        <v>51</v>
      </c>
      <c r="E368" s="6" t="s">
        <v>336</v>
      </c>
      <c r="F368" s="9" t="s">
        <v>473</v>
      </c>
      <c r="G368" s="6" t="s">
        <v>54</v>
      </c>
      <c r="H368" s="6" t="n">
        <v>200</v>
      </c>
      <c r="I368" s="6" t="n">
        <v>200</v>
      </c>
      <c r="J368" s="6" t="n">
        <v>28.1</v>
      </c>
      <c r="K368" s="6" t="n">
        <v>501</v>
      </c>
      <c r="L368" s="6" t="n">
        <v>481</v>
      </c>
      <c r="M368" s="6" t="n">
        <f aca="false">IF(AND(ISNUMBER(K368),ISNUMBER(L368)),ROUND(K368/L368,2),"")</f>
        <v>1.04</v>
      </c>
      <c r="N368" s="9" t="s">
        <v>338</v>
      </c>
      <c r="O368" s="8" t="s">
        <v>6</v>
      </c>
      <c r="P368" s="9" t="s">
        <v>350</v>
      </c>
      <c r="Q368" s="7"/>
      <c r="R368" s="6" t="s">
        <v>475</v>
      </c>
    </row>
    <row r="369" customFormat="false" ht="15" hidden="false" customHeight="false" outlineLevel="0" collapsed="false">
      <c r="A369" s="6" t="n">
        <v>368</v>
      </c>
      <c r="B369" s="6" t="s">
        <v>29</v>
      </c>
      <c r="C369" s="10" t="s">
        <v>58</v>
      </c>
      <c r="D369" s="6" t="s">
        <v>51</v>
      </c>
      <c r="E369" s="6" t="s">
        <v>340</v>
      </c>
      <c r="F369" s="9" t="s">
        <v>798</v>
      </c>
      <c r="G369" s="6" t="s">
        <v>54</v>
      </c>
      <c r="H369" s="6" t="n">
        <v>200</v>
      </c>
      <c r="I369" s="6" t="n">
        <v>200</v>
      </c>
      <c r="J369" s="6" t="n">
        <v>2.6</v>
      </c>
      <c r="K369" s="6" t="n">
        <v>361</v>
      </c>
      <c r="L369" s="6" t="n">
        <v>272</v>
      </c>
      <c r="M369" s="6" t="n">
        <f aca="false">IF(AND(ISNUMBER(K369),ISNUMBER(L369)),ROUND(K369/L369,2),"")</f>
        <v>1.33</v>
      </c>
      <c r="N369" s="9" t="s">
        <v>341</v>
      </c>
      <c r="O369" s="11" t="s">
        <v>5</v>
      </c>
      <c r="P369" s="7"/>
      <c r="Q369" s="7"/>
      <c r="R369" s="6" t="s">
        <v>799</v>
      </c>
    </row>
    <row r="370" customFormat="false" ht="15" hidden="false" customHeight="false" outlineLevel="0" collapsed="false">
      <c r="A370" s="6" t="n">
        <v>369</v>
      </c>
      <c r="B370" s="6" t="s">
        <v>29</v>
      </c>
      <c r="C370" s="10" t="s">
        <v>58</v>
      </c>
      <c r="D370" s="6" t="s">
        <v>51</v>
      </c>
      <c r="E370" s="6" t="s">
        <v>342</v>
      </c>
      <c r="F370" s="9" t="s">
        <v>100</v>
      </c>
      <c r="G370" s="6" t="s">
        <v>54</v>
      </c>
      <c r="H370" s="6" t="n">
        <v>200</v>
      </c>
      <c r="I370" s="6" t="n">
        <v>200</v>
      </c>
      <c r="J370" s="6" t="n">
        <v>8</v>
      </c>
      <c r="K370" s="6" t="n">
        <v>335</v>
      </c>
      <c r="L370" s="6" t="n">
        <v>304</v>
      </c>
      <c r="M370" s="6" t="n">
        <f aca="false">IF(AND(ISNUMBER(K370),ISNUMBER(L370)),ROUND(K370/L370,2),"")</f>
        <v>1.1</v>
      </c>
      <c r="N370" s="9" t="s">
        <v>343</v>
      </c>
      <c r="O370" s="8" t="s">
        <v>6</v>
      </c>
      <c r="P370" s="9" t="s">
        <v>350</v>
      </c>
      <c r="Q370" s="7"/>
      <c r="R370" s="6" t="s">
        <v>102</v>
      </c>
    </row>
    <row r="371" customFormat="false" ht="15" hidden="false" customHeight="false" outlineLevel="0" collapsed="false">
      <c r="A371" s="6" t="n">
        <v>370</v>
      </c>
      <c r="B371" s="6" t="s">
        <v>29</v>
      </c>
      <c r="C371" s="10" t="s">
        <v>58</v>
      </c>
      <c r="D371" s="6" t="s">
        <v>51</v>
      </c>
      <c r="E371" s="6" t="s">
        <v>345</v>
      </c>
      <c r="F371" s="9" t="s">
        <v>800</v>
      </c>
      <c r="G371" s="6" t="s">
        <v>54</v>
      </c>
      <c r="H371" s="6" t="n">
        <v>200</v>
      </c>
      <c r="I371" s="6" t="n">
        <v>200</v>
      </c>
      <c r="J371" s="6" t="n">
        <v>0.7</v>
      </c>
      <c r="K371" s="6" t="n">
        <v>177</v>
      </c>
      <c r="L371" s="6" t="n">
        <v>66</v>
      </c>
      <c r="M371" s="6" t="n">
        <f aca="false">IF(AND(ISNUMBER(K371),ISNUMBER(L371)),ROUND(K371/L371,2),"")</f>
        <v>2.68</v>
      </c>
      <c r="N371" s="9" t="s">
        <v>346</v>
      </c>
      <c r="O371" s="8" t="s">
        <v>6</v>
      </c>
      <c r="P371" s="9" t="s">
        <v>801</v>
      </c>
      <c r="Q371" s="7"/>
      <c r="R371" s="6" t="s">
        <v>802</v>
      </c>
    </row>
    <row r="372" customFormat="false" ht="15" hidden="false" customHeight="false" outlineLevel="0" collapsed="false">
      <c r="A372" s="6" t="n">
        <v>371</v>
      </c>
      <c r="B372" s="6" t="s">
        <v>29</v>
      </c>
      <c r="C372" s="10" t="s">
        <v>58</v>
      </c>
      <c r="D372" s="6" t="s">
        <v>51</v>
      </c>
      <c r="E372" s="6" t="s">
        <v>347</v>
      </c>
      <c r="F372" s="9" t="s">
        <v>803</v>
      </c>
      <c r="G372" s="6" t="s">
        <v>54</v>
      </c>
      <c r="H372" s="6" t="n">
        <v>200</v>
      </c>
      <c r="I372" s="6" t="n">
        <v>200</v>
      </c>
      <c r="J372" s="6" t="n">
        <v>2.5</v>
      </c>
      <c r="K372" s="6" t="n">
        <v>82</v>
      </c>
      <c r="L372" s="6" t="n">
        <v>304</v>
      </c>
      <c r="M372" s="6" t="n">
        <f aca="false">IF(AND(ISNUMBER(K372),ISNUMBER(L372)),ROUND(K372/L372,2),"")</f>
        <v>0.27</v>
      </c>
      <c r="N372" s="9" t="s">
        <v>349</v>
      </c>
      <c r="O372" s="8" t="s">
        <v>6</v>
      </c>
      <c r="P372" s="9" t="s">
        <v>804</v>
      </c>
      <c r="Q372" s="7"/>
      <c r="R372" s="6" t="s">
        <v>805</v>
      </c>
    </row>
    <row r="373" customFormat="false" ht="15" hidden="false" customHeight="false" outlineLevel="0" collapsed="false">
      <c r="A373" s="6" t="n">
        <v>372</v>
      </c>
      <c r="B373" s="6" t="s">
        <v>29</v>
      </c>
      <c r="C373" s="10" t="s">
        <v>58</v>
      </c>
      <c r="D373" s="6" t="s">
        <v>51</v>
      </c>
      <c r="E373" s="6" t="s">
        <v>352</v>
      </c>
      <c r="F373" s="9" t="s">
        <v>806</v>
      </c>
      <c r="G373" s="6" t="s">
        <v>54</v>
      </c>
      <c r="H373" s="6" t="n">
        <v>200</v>
      </c>
      <c r="I373" s="6" t="n">
        <v>200</v>
      </c>
      <c r="J373" s="6" t="n">
        <v>14.7</v>
      </c>
      <c r="K373" s="6" t="n">
        <v>438</v>
      </c>
      <c r="L373" s="6" t="n">
        <v>266</v>
      </c>
      <c r="M373" s="6" t="n">
        <f aca="false">IF(AND(ISNUMBER(K373),ISNUMBER(L373)),ROUND(K373/L373,2),"")</f>
        <v>1.65</v>
      </c>
      <c r="N373" s="9" t="s">
        <v>354</v>
      </c>
      <c r="O373" s="8" t="s">
        <v>6</v>
      </c>
      <c r="P373" s="9" t="s">
        <v>67</v>
      </c>
      <c r="Q373" s="7"/>
      <c r="R373" s="6" t="s">
        <v>807</v>
      </c>
    </row>
    <row r="374" customFormat="false" ht="15" hidden="false" customHeight="false" outlineLevel="0" collapsed="false">
      <c r="A374" s="6" t="n">
        <v>373</v>
      </c>
      <c r="B374" s="6" t="s">
        <v>29</v>
      </c>
      <c r="C374" s="10" t="s">
        <v>58</v>
      </c>
      <c r="D374" s="6" t="s">
        <v>51</v>
      </c>
      <c r="E374" s="6" t="s">
        <v>443</v>
      </c>
      <c r="F374" s="9" t="s">
        <v>808</v>
      </c>
      <c r="G374" s="6" t="s">
        <v>54</v>
      </c>
      <c r="H374" s="6" t="n">
        <v>200</v>
      </c>
      <c r="I374" s="6" t="n">
        <v>200</v>
      </c>
      <c r="J374" s="6" t="n">
        <v>9.3</v>
      </c>
      <c r="K374" s="6" t="n">
        <v>438</v>
      </c>
      <c r="L374" s="6" t="n">
        <v>285</v>
      </c>
      <c r="M374" s="6" t="n">
        <f aca="false">IF(AND(ISNUMBER(K374),ISNUMBER(L374)),ROUND(K374/L374,2),"")</f>
        <v>1.54</v>
      </c>
      <c r="N374" s="9" t="s">
        <v>809</v>
      </c>
      <c r="O374" s="11" t="s">
        <v>5</v>
      </c>
      <c r="P374" s="7"/>
      <c r="Q374" s="7"/>
      <c r="R374" s="6" t="s">
        <v>810</v>
      </c>
    </row>
    <row r="375" customFormat="false" ht="15" hidden="false" customHeight="false" outlineLevel="0" collapsed="false">
      <c r="A375" s="6" t="n">
        <v>374</v>
      </c>
      <c r="B375" s="6" t="s">
        <v>29</v>
      </c>
      <c r="C375" s="10" t="s">
        <v>58</v>
      </c>
      <c r="D375" s="6" t="s">
        <v>51</v>
      </c>
      <c r="E375" s="6" t="s">
        <v>447</v>
      </c>
      <c r="F375" s="9" t="s">
        <v>100</v>
      </c>
      <c r="G375" s="6" t="s">
        <v>54</v>
      </c>
      <c r="H375" s="6" t="n">
        <v>200</v>
      </c>
      <c r="I375" s="6" t="n">
        <v>200</v>
      </c>
      <c r="J375" s="6" t="n">
        <v>8</v>
      </c>
      <c r="K375" s="6" t="n">
        <v>335</v>
      </c>
      <c r="L375" s="6" t="n">
        <v>304</v>
      </c>
      <c r="M375" s="6" t="n">
        <f aca="false">IF(AND(ISNUMBER(K375),ISNUMBER(L375)),ROUND(K375/L375,2),"")</f>
        <v>1.1</v>
      </c>
      <c r="N375" s="9" t="s">
        <v>811</v>
      </c>
      <c r="O375" s="8" t="s">
        <v>6</v>
      </c>
      <c r="P375" s="9" t="s">
        <v>350</v>
      </c>
      <c r="Q375" s="7"/>
      <c r="R375" s="6" t="s">
        <v>102</v>
      </c>
    </row>
    <row r="376" customFormat="false" ht="15" hidden="false" customHeight="false" outlineLevel="0" collapsed="false">
      <c r="A376" s="6" t="n">
        <v>375</v>
      </c>
      <c r="B376" s="6" t="s">
        <v>29</v>
      </c>
      <c r="C376" s="10" t="s">
        <v>58</v>
      </c>
      <c r="D376" s="6" t="s">
        <v>51</v>
      </c>
      <c r="E376" s="6" t="s">
        <v>451</v>
      </c>
      <c r="F376" s="9" t="s">
        <v>812</v>
      </c>
      <c r="G376" s="6" t="s">
        <v>54</v>
      </c>
      <c r="H376" s="6" t="n">
        <v>200</v>
      </c>
      <c r="I376" s="6" t="n">
        <v>200</v>
      </c>
      <c r="J376" s="6" t="n">
        <v>76.2</v>
      </c>
      <c r="K376" s="6" t="n">
        <v>992</v>
      </c>
      <c r="L376" s="6" t="n">
        <v>1403</v>
      </c>
      <c r="M376" s="6" t="n">
        <f aca="false">IF(AND(ISNUMBER(K376),ISNUMBER(L376)),ROUND(K376/L376,2),"")</f>
        <v>0.71</v>
      </c>
      <c r="N376" s="9" t="s">
        <v>813</v>
      </c>
      <c r="O376" s="8" t="s">
        <v>6</v>
      </c>
      <c r="P376" s="9" t="s">
        <v>814</v>
      </c>
      <c r="Q376" s="7"/>
      <c r="R376" s="6" t="s">
        <v>815</v>
      </c>
    </row>
    <row r="377" customFormat="false" ht="15" hidden="false" customHeight="false" outlineLevel="0" collapsed="false">
      <c r="A377" s="6" t="n">
        <v>376</v>
      </c>
      <c r="B377" s="6" t="s">
        <v>29</v>
      </c>
      <c r="C377" s="10" t="s">
        <v>58</v>
      </c>
      <c r="D377" s="6" t="s">
        <v>51</v>
      </c>
      <c r="E377" s="6" t="s">
        <v>389</v>
      </c>
      <c r="F377" s="9" t="s">
        <v>816</v>
      </c>
      <c r="G377" s="6" t="s">
        <v>54</v>
      </c>
      <c r="H377" s="6" t="n">
        <v>200</v>
      </c>
      <c r="I377" s="6" t="n">
        <v>200</v>
      </c>
      <c r="J377" s="6" t="n">
        <v>30.9</v>
      </c>
      <c r="K377" s="6" t="n">
        <v>603</v>
      </c>
      <c r="L377" s="6" t="n">
        <v>322</v>
      </c>
      <c r="M377" s="6" t="n">
        <f aca="false">IF(AND(ISNUMBER(K377),ISNUMBER(L377)),ROUND(K377/L377,2),"")</f>
        <v>1.87</v>
      </c>
      <c r="N377" s="9" t="s">
        <v>817</v>
      </c>
      <c r="O377" s="11" t="s">
        <v>5</v>
      </c>
      <c r="P377" s="7"/>
      <c r="Q377" s="7"/>
      <c r="R377" s="6" t="s">
        <v>818</v>
      </c>
    </row>
    <row r="378" customFormat="false" ht="15" hidden="false" customHeight="false" outlineLevel="0" collapsed="false">
      <c r="A378" s="6" t="n">
        <v>377</v>
      </c>
      <c r="B378" s="6" t="s">
        <v>29</v>
      </c>
      <c r="C378" s="10" t="s">
        <v>58</v>
      </c>
      <c r="D378" s="6" t="s">
        <v>51</v>
      </c>
      <c r="E378" s="6" t="s">
        <v>391</v>
      </c>
      <c r="F378" s="9" t="s">
        <v>812</v>
      </c>
      <c r="G378" s="6" t="s">
        <v>54</v>
      </c>
      <c r="H378" s="6" t="n">
        <v>200</v>
      </c>
      <c r="I378" s="6" t="n">
        <v>200</v>
      </c>
      <c r="J378" s="6" t="n">
        <v>76.2</v>
      </c>
      <c r="K378" s="6" t="n">
        <v>992</v>
      </c>
      <c r="L378" s="6" t="n">
        <v>1403</v>
      </c>
      <c r="M378" s="6" t="n">
        <f aca="false">IF(AND(ISNUMBER(K378),ISNUMBER(L378)),ROUND(K378/L378,2),"")</f>
        <v>0.71</v>
      </c>
      <c r="N378" s="9" t="s">
        <v>819</v>
      </c>
      <c r="O378" s="8" t="s">
        <v>6</v>
      </c>
      <c r="P378" s="9" t="s">
        <v>814</v>
      </c>
      <c r="Q378" s="7"/>
      <c r="R378" s="6" t="s">
        <v>815</v>
      </c>
    </row>
    <row r="379" customFormat="false" ht="15" hidden="false" customHeight="false" outlineLevel="0" collapsed="false">
      <c r="A379" s="6" t="n">
        <v>378</v>
      </c>
      <c r="B379" s="6" t="s">
        <v>29</v>
      </c>
      <c r="C379" s="10" t="s">
        <v>58</v>
      </c>
      <c r="D379" s="6" t="s">
        <v>51</v>
      </c>
      <c r="E379" s="6" t="s">
        <v>393</v>
      </c>
      <c r="F379" s="9" t="s">
        <v>473</v>
      </c>
      <c r="G379" s="6" t="s">
        <v>54</v>
      </c>
      <c r="H379" s="6" t="n">
        <v>200</v>
      </c>
      <c r="I379" s="6" t="n">
        <v>200</v>
      </c>
      <c r="J379" s="6" t="n">
        <v>28.1</v>
      </c>
      <c r="K379" s="6" t="n">
        <v>501</v>
      </c>
      <c r="L379" s="6" t="n">
        <v>481</v>
      </c>
      <c r="M379" s="6" t="n">
        <f aca="false">IF(AND(ISNUMBER(K379),ISNUMBER(L379)),ROUND(K379/L379,2),"")</f>
        <v>1.04</v>
      </c>
      <c r="N379" s="9" t="s">
        <v>820</v>
      </c>
      <c r="O379" s="8" t="s">
        <v>6</v>
      </c>
      <c r="P379" s="9" t="s">
        <v>350</v>
      </c>
      <c r="Q379" s="7"/>
      <c r="R379" s="6" t="s">
        <v>475</v>
      </c>
    </row>
    <row r="380" customFormat="false" ht="15" hidden="false" customHeight="false" outlineLevel="0" collapsed="false">
      <c r="A380" s="6" t="n">
        <v>379</v>
      </c>
      <c r="B380" s="6" t="s">
        <v>29</v>
      </c>
      <c r="C380" s="10" t="s">
        <v>58</v>
      </c>
      <c r="D380" s="6" t="s">
        <v>51</v>
      </c>
      <c r="E380" s="6" t="s">
        <v>395</v>
      </c>
      <c r="F380" s="9" t="s">
        <v>100</v>
      </c>
      <c r="G380" s="6" t="s">
        <v>54</v>
      </c>
      <c r="H380" s="6" t="n">
        <v>200</v>
      </c>
      <c r="I380" s="6" t="n">
        <v>200</v>
      </c>
      <c r="J380" s="6" t="n">
        <v>8</v>
      </c>
      <c r="K380" s="6" t="n">
        <v>335</v>
      </c>
      <c r="L380" s="6" t="n">
        <v>304</v>
      </c>
      <c r="M380" s="6" t="n">
        <f aca="false">IF(AND(ISNUMBER(K380),ISNUMBER(L380)),ROUND(K380/L380,2),"")</f>
        <v>1.1</v>
      </c>
      <c r="N380" s="9" t="s">
        <v>821</v>
      </c>
      <c r="O380" s="8" t="s">
        <v>6</v>
      </c>
      <c r="P380" s="9" t="s">
        <v>350</v>
      </c>
      <c r="Q380" s="7"/>
      <c r="R380" s="6" t="s">
        <v>102</v>
      </c>
    </row>
    <row r="381" customFormat="false" ht="15" hidden="false" customHeight="false" outlineLevel="0" collapsed="false">
      <c r="A381" s="6" t="n">
        <v>380</v>
      </c>
      <c r="B381" s="6" t="s">
        <v>29</v>
      </c>
      <c r="C381" s="10" t="s">
        <v>58</v>
      </c>
      <c r="D381" s="6" t="s">
        <v>51</v>
      </c>
      <c r="E381" s="6" t="s">
        <v>64</v>
      </c>
      <c r="F381" s="7" t="s">
        <v>167</v>
      </c>
      <c r="G381" s="6" t="s">
        <v>54</v>
      </c>
      <c r="H381" s="6" t="n">
        <v>200</v>
      </c>
      <c r="I381" s="6" t="n">
        <v>200</v>
      </c>
      <c r="J381" s="6" t="n">
        <v>150.2</v>
      </c>
      <c r="K381" s="6" t="n">
        <v>1915</v>
      </c>
      <c r="L381" s="6" t="n">
        <v>821</v>
      </c>
      <c r="M381" s="6" t="n">
        <f aca="false">IF(AND(ISNUMBER(K381),ISNUMBER(L381)),ROUND(K381/L381,2),"")</f>
        <v>2.33</v>
      </c>
      <c r="N381" s="9" t="s">
        <v>168</v>
      </c>
      <c r="O381" s="8" t="s">
        <v>6</v>
      </c>
      <c r="P381" s="9" t="s">
        <v>67</v>
      </c>
      <c r="Q381" s="7"/>
      <c r="R381" s="6" t="s">
        <v>169</v>
      </c>
    </row>
    <row r="382" customFormat="false" ht="15" hidden="false" customHeight="false" outlineLevel="0" collapsed="false">
      <c r="A382" s="6" t="n">
        <v>381</v>
      </c>
      <c r="B382" s="6" t="s">
        <v>29</v>
      </c>
      <c r="C382" s="6" t="s">
        <v>50</v>
      </c>
      <c r="D382" s="6" t="s">
        <v>51</v>
      </c>
      <c r="E382" s="6" t="s">
        <v>170</v>
      </c>
      <c r="F382" s="9" t="s">
        <v>171</v>
      </c>
      <c r="G382" s="6" t="s">
        <v>54</v>
      </c>
      <c r="H382" s="6" t="n">
        <v>200</v>
      </c>
      <c r="I382" s="6" t="n">
        <v>200</v>
      </c>
      <c r="J382" s="6" t="n">
        <v>51.5</v>
      </c>
      <c r="K382" s="6" t="n">
        <v>537</v>
      </c>
      <c r="L382" s="6" t="n">
        <v>403</v>
      </c>
      <c r="M382" s="6" t="n">
        <f aca="false">IF(AND(ISNUMBER(K382),ISNUMBER(L382)),ROUND(K382/L382,2),"")</f>
        <v>1.33</v>
      </c>
      <c r="N382" s="9" t="s">
        <v>172</v>
      </c>
      <c r="O382" s="11" t="s">
        <v>5</v>
      </c>
      <c r="P382" s="7"/>
      <c r="Q382" s="7"/>
      <c r="R382" s="6" t="s">
        <v>173</v>
      </c>
    </row>
    <row r="383" customFormat="false" ht="15" hidden="false" customHeight="false" outlineLevel="0" collapsed="false">
      <c r="A383" s="6" t="n">
        <v>382</v>
      </c>
      <c r="B383" s="6" t="s">
        <v>29</v>
      </c>
      <c r="C383" s="6" t="s">
        <v>50</v>
      </c>
      <c r="D383" s="6" t="s">
        <v>51</v>
      </c>
      <c r="E383" s="6" t="s">
        <v>174</v>
      </c>
      <c r="F383" s="7" t="s">
        <v>53</v>
      </c>
      <c r="G383" s="6" t="s">
        <v>54</v>
      </c>
      <c r="H383" s="6" t="n">
        <v>200</v>
      </c>
      <c r="I383" s="6" t="n">
        <v>200</v>
      </c>
      <c r="J383" s="6" t="n">
        <v>3.9</v>
      </c>
      <c r="K383" s="6" t="n">
        <v>442</v>
      </c>
      <c r="L383" s="6" t="n">
        <v>129</v>
      </c>
      <c r="M383" s="6" t="n">
        <f aca="false">IF(AND(ISNUMBER(K383),ISNUMBER(L383)),ROUND(K383/L383,2),"")</f>
        <v>3.43</v>
      </c>
      <c r="N383" s="7" t="s">
        <v>55</v>
      </c>
      <c r="O383" s="8" t="s">
        <v>6</v>
      </c>
      <c r="P383" s="9" t="s">
        <v>56</v>
      </c>
      <c r="Q383" s="7"/>
      <c r="R383" s="6" t="s">
        <v>57</v>
      </c>
    </row>
    <row r="384" customFormat="false" ht="15" hidden="false" customHeight="false" outlineLevel="0" collapsed="false">
      <c r="A384" s="6" t="n">
        <v>383</v>
      </c>
      <c r="B384" s="6" t="s">
        <v>29</v>
      </c>
      <c r="C384" s="6" t="s">
        <v>175</v>
      </c>
      <c r="D384" s="6" t="s">
        <v>176</v>
      </c>
      <c r="E384" s="6" t="s">
        <v>176</v>
      </c>
      <c r="F384" s="7" t="s">
        <v>822</v>
      </c>
      <c r="G384" s="6" t="s">
        <v>54</v>
      </c>
      <c r="H384" s="6" t="n">
        <v>200</v>
      </c>
      <c r="I384" s="6" t="s">
        <v>178</v>
      </c>
      <c r="J384" s="6" t="n">
        <v>2585.7</v>
      </c>
      <c r="K384" s="6" t="n">
        <v>2141</v>
      </c>
      <c r="L384" s="6" t="n">
        <v>734</v>
      </c>
      <c r="M384" s="6" t="n">
        <f aca="false">IF(AND(ISNUMBER(K384),ISNUMBER(L384)),ROUND(K384/L384,2),"")</f>
        <v>2.92</v>
      </c>
      <c r="N384" s="7" t="s">
        <v>179</v>
      </c>
      <c r="O384" s="8" t="s">
        <v>6</v>
      </c>
      <c r="P384" s="9" t="s">
        <v>180</v>
      </c>
      <c r="Q384" s="7"/>
      <c r="R384" s="6" t="s">
        <v>823</v>
      </c>
    </row>
    <row r="385" customFormat="false" ht="15" hidden="false" customHeight="false" outlineLevel="0" collapsed="false">
      <c r="A385" s="6" t="n">
        <v>384</v>
      </c>
      <c r="B385" s="6" t="s">
        <v>30</v>
      </c>
      <c r="C385" s="6" t="s">
        <v>50</v>
      </c>
      <c r="D385" s="6" t="s">
        <v>51</v>
      </c>
      <c r="E385" s="6" t="s">
        <v>52</v>
      </c>
      <c r="F385" s="7" t="s">
        <v>53</v>
      </c>
      <c r="G385" s="6" t="s">
        <v>54</v>
      </c>
      <c r="H385" s="6" t="n">
        <v>200</v>
      </c>
      <c r="I385" s="6" t="n">
        <v>200</v>
      </c>
      <c r="J385" s="6" t="n">
        <v>3.9</v>
      </c>
      <c r="K385" s="6" t="n">
        <v>442</v>
      </c>
      <c r="L385" s="6" t="n">
        <v>129</v>
      </c>
      <c r="M385" s="6" t="n">
        <f aca="false">IF(AND(ISNUMBER(K385),ISNUMBER(L385)),ROUND(K385/L385,2),"")</f>
        <v>3.43</v>
      </c>
      <c r="N385" s="7" t="s">
        <v>55</v>
      </c>
      <c r="O385" s="8" t="s">
        <v>6</v>
      </c>
      <c r="P385" s="9" t="s">
        <v>56</v>
      </c>
      <c r="Q385" s="7"/>
      <c r="R385" s="6" t="s">
        <v>57</v>
      </c>
    </row>
    <row r="386" customFormat="false" ht="15" hidden="false" customHeight="false" outlineLevel="0" collapsed="false">
      <c r="A386" s="6" t="n">
        <v>385</v>
      </c>
      <c r="B386" s="6" t="s">
        <v>30</v>
      </c>
      <c r="C386" s="10" t="s">
        <v>58</v>
      </c>
      <c r="D386" s="6" t="s">
        <v>51</v>
      </c>
      <c r="E386" s="6" t="s">
        <v>182</v>
      </c>
      <c r="F386" s="7" t="s">
        <v>201</v>
      </c>
      <c r="G386" s="6" t="s">
        <v>54</v>
      </c>
      <c r="H386" s="6" t="n">
        <v>200</v>
      </c>
      <c r="I386" s="6" t="n">
        <v>200</v>
      </c>
      <c r="J386" s="6" t="n">
        <v>164.4</v>
      </c>
      <c r="K386" s="6" t="n">
        <v>1376</v>
      </c>
      <c r="L386" s="6" t="n">
        <v>768</v>
      </c>
      <c r="M386" s="6" t="n">
        <f aca="false">IF(AND(ISNUMBER(K386),ISNUMBER(L386)),ROUND(K386/L386,2),"")</f>
        <v>1.79</v>
      </c>
      <c r="N386" s="7" t="s">
        <v>824</v>
      </c>
      <c r="O386" s="8" t="s">
        <v>6</v>
      </c>
      <c r="P386" s="9" t="s">
        <v>350</v>
      </c>
      <c r="Q386" s="7"/>
      <c r="R386" s="6" t="s">
        <v>203</v>
      </c>
    </row>
    <row r="387" customFormat="false" ht="15" hidden="false" customHeight="false" outlineLevel="0" collapsed="false">
      <c r="A387" s="6" t="n">
        <v>386</v>
      </c>
      <c r="B387" s="6" t="s">
        <v>30</v>
      </c>
      <c r="C387" s="10" t="s">
        <v>58</v>
      </c>
      <c r="D387" s="6" t="s">
        <v>51</v>
      </c>
      <c r="E387" s="6" t="s">
        <v>825</v>
      </c>
      <c r="F387" s="9" t="s">
        <v>192</v>
      </c>
      <c r="G387" s="6" t="s">
        <v>54</v>
      </c>
      <c r="H387" s="6" t="n">
        <v>200</v>
      </c>
      <c r="I387" s="6" t="n">
        <v>200</v>
      </c>
      <c r="J387" s="6" t="n">
        <v>16.9</v>
      </c>
      <c r="K387" s="6" t="n">
        <v>569</v>
      </c>
      <c r="L387" s="6" t="n">
        <v>288</v>
      </c>
      <c r="M387" s="6" t="n">
        <f aca="false">IF(AND(ISNUMBER(K387),ISNUMBER(L387)),ROUND(K387/L387,2),"")</f>
        <v>1.98</v>
      </c>
      <c r="N387" s="7"/>
      <c r="O387" s="8" t="s">
        <v>6</v>
      </c>
      <c r="P387" s="7" t="s">
        <v>826</v>
      </c>
      <c r="Q387" s="7"/>
      <c r="R387" s="6" t="s">
        <v>194</v>
      </c>
    </row>
    <row r="388" customFormat="false" ht="15" hidden="false" customHeight="false" outlineLevel="0" collapsed="false">
      <c r="A388" s="6" t="n">
        <v>387</v>
      </c>
      <c r="B388" s="6" t="s">
        <v>30</v>
      </c>
      <c r="C388" s="10" t="s">
        <v>58</v>
      </c>
      <c r="D388" s="6" t="s">
        <v>51</v>
      </c>
      <c r="E388" s="6" t="s">
        <v>825</v>
      </c>
      <c r="F388" s="7" t="s">
        <v>266</v>
      </c>
      <c r="G388" s="6" t="s">
        <v>54</v>
      </c>
      <c r="H388" s="6" t="n">
        <v>200</v>
      </c>
      <c r="I388" s="6" t="n">
        <v>200</v>
      </c>
      <c r="J388" s="6" t="n">
        <v>102.5</v>
      </c>
      <c r="K388" s="6" t="n">
        <v>1376</v>
      </c>
      <c r="L388" s="6" t="n">
        <v>768</v>
      </c>
      <c r="M388" s="6" t="n">
        <f aca="false">IF(AND(ISNUMBER(K388),ISNUMBER(L388)),ROUND(K388/L388,2),"")</f>
        <v>1.79</v>
      </c>
      <c r="N388" s="7"/>
      <c r="O388" s="8" t="s">
        <v>6</v>
      </c>
      <c r="P388" s="7" t="s">
        <v>827</v>
      </c>
      <c r="Q388" s="7"/>
      <c r="R388" s="6" t="s">
        <v>268</v>
      </c>
    </row>
    <row r="389" customFormat="false" ht="15" hidden="false" customHeight="false" outlineLevel="0" collapsed="false">
      <c r="A389" s="6" t="n">
        <v>388</v>
      </c>
      <c r="B389" s="6" t="s">
        <v>30</v>
      </c>
      <c r="C389" s="10" t="s">
        <v>58</v>
      </c>
      <c r="D389" s="6" t="s">
        <v>51</v>
      </c>
      <c r="E389" s="6" t="s">
        <v>825</v>
      </c>
      <c r="F389" s="7" t="s">
        <v>270</v>
      </c>
      <c r="G389" s="6" t="s">
        <v>54</v>
      </c>
      <c r="H389" s="6" t="n">
        <v>200</v>
      </c>
      <c r="I389" s="6" t="n">
        <v>200</v>
      </c>
      <c r="J389" s="6" t="n">
        <v>153.2</v>
      </c>
      <c r="K389" s="6" t="n">
        <v>1376</v>
      </c>
      <c r="L389" s="6" t="n">
        <v>768</v>
      </c>
      <c r="M389" s="6" t="n">
        <f aca="false">IF(AND(ISNUMBER(K389),ISNUMBER(L389)),ROUND(K389/L389,2),"")</f>
        <v>1.79</v>
      </c>
      <c r="N389" s="7"/>
      <c r="O389" s="8" t="s">
        <v>6</v>
      </c>
      <c r="P389" s="7" t="s">
        <v>826</v>
      </c>
      <c r="Q389" s="7"/>
      <c r="R389" s="6" t="s">
        <v>272</v>
      </c>
    </row>
    <row r="390" customFormat="false" ht="29.85" hidden="false" customHeight="false" outlineLevel="0" collapsed="false">
      <c r="A390" s="6" t="n">
        <v>389</v>
      </c>
      <c r="B390" s="6" t="s">
        <v>30</v>
      </c>
      <c r="C390" s="10" t="s">
        <v>58</v>
      </c>
      <c r="D390" s="6" t="s">
        <v>51</v>
      </c>
      <c r="E390" s="6" t="s">
        <v>825</v>
      </c>
      <c r="F390" s="9" t="s">
        <v>274</v>
      </c>
      <c r="G390" s="6" t="s">
        <v>54</v>
      </c>
      <c r="H390" s="6" t="n">
        <v>200</v>
      </c>
      <c r="I390" s="6" t="n">
        <v>200</v>
      </c>
      <c r="J390" s="6" t="n">
        <v>44</v>
      </c>
      <c r="K390" s="6" t="n">
        <v>1376</v>
      </c>
      <c r="L390" s="6" t="n">
        <v>768</v>
      </c>
      <c r="M390" s="6" t="n">
        <f aca="false">IF(AND(ISNUMBER(K390),ISNUMBER(L390)),ROUND(K390/L390,2),"")</f>
        <v>1.79</v>
      </c>
      <c r="N390" s="7"/>
      <c r="O390" s="8" t="s">
        <v>6</v>
      </c>
      <c r="P390" s="7" t="s">
        <v>828</v>
      </c>
      <c r="Q390" s="7"/>
      <c r="R390" s="6" t="s">
        <v>276</v>
      </c>
    </row>
    <row r="391" customFormat="false" ht="29.85" hidden="false" customHeight="false" outlineLevel="0" collapsed="false">
      <c r="A391" s="6" t="n">
        <v>390</v>
      </c>
      <c r="B391" s="6" t="s">
        <v>30</v>
      </c>
      <c r="C391" s="10" t="s">
        <v>58</v>
      </c>
      <c r="D391" s="6" t="s">
        <v>51</v>
      </c>
      <c r="E391" s="6" t="s">
        <v>825</v>
      </c>
      <c r="F391" s="9" t="s">
        <v>274</v>
      </c>
      <c r="G391" s="6" t="s">
        <v>54</v>
      </c>
      <c r="H391" s="6" t="n">
        <v>200</v>
      </c>
      <c r="I391" s="6" t="n">
        <v>200</v>
      </c>
      <c r="J391" s="6" t="n">
        <v>44</v>
      </c>
      <c r="K391" s="6" t="n">
        <v>1376</v>
      </c>
      <c r="L391" s="6" t="n">
        <v>768</v>
      </c>
      <c r="M391" s="6" t="n">
        <f aca="false">IF(AND(ISNUMBER(K391),ISNUMBER(L391)),ROUND(K391/L391,2),"")</f>
        <v>1.79</v>
      </c>
      <c r="N391" s="7"/>
      <c r="O391" s="8" t="s">
        <v>6</v>
      </c>
      <c r="P391" s="7" t="s">
        <v>828</v>
      </c>
      <c r="Q391" s="7"/>
      <c r="R391" s="6" t="s">
        <v>276</v>
      </c>
    </row>
    <row r="392" customFormat="false" ht="15" hidden="false" customHeight="false" outlineLevel="0" collapsed="false">
      <c r="A392" s="6" t="n">
        <v>391</v>
      </c>
      <c r="B392" s="6" t="s">
        <v>30</v>
      </c>
      <c r="C392" s="10" t="s">
        <v>58</v>
      </c>
      <c r="D392" s="6" t="s">
        <v>51</v>
      </c>
      <c r="E392" s="6" t="s">
        <v>825</v>
      </c>
      <c r="F392" s="7" t="s">
        <v>280</v>
      </c>
      <c r="G392" s="6" t="s">
        <v>54</v>
      </c>
      <c r="H392" s="6" t="n">
        <v>200</v>
      </c>
      <c r="I392" s="6" t="n">
        <v>200</v>
      </c>
      <c r="J392" s="6" t="n">
        <v>25.6</v>
      </c>
      <c r="K392" s="6" t="n">
        <v>824</v>
      </c>
      <c r="L392" s="6" t="n">
        <v>571</v>
      </c>
      <c r="M392" s="6" t="n">
        <f aca="false">IF(AND(ISNUMBER(K392),ISNUMBER(L392)),ROUND(K392/L392,2),"")</f>
        <v>1.44</v>
      </c>
      <c r="N392" s="7"/>
      <c r="O392" s="8" t="s">
        <v>6</v>
      </c>
      <c r="P392" s="7" t="s">
        <v>826</v>
      </c>
      <c r="Q392" s="7"/>
      <c r="R392" s="6" t="s">
        <v>282</v>
      </c>
    </row>
    <row r="393" customFormat="false" ht="15" hidden="false" customHeight="false" outlineLevel="0" collapsed="false">
      <c r="A393" s="6" t="n">
        <v>392</v>
      </c>
      <c r="B393" s="6" t="s">
        <v>30</v>
      </c>
      <c r="C393" s="10" t="s">
        <v>58</v>
      </c>
      <c r="D393" s="6" t="s">
        <v>51</v>
      </c>
      <c r="E393" s="6" t="s">
        <v>825</v>
      </c>
      <c r="F393" s="9" t="s">
        <v>473</v>
      </c>
      <c r="G393" s="6" t="s">
        <v>54</v>
      </c>
      <c r="H393" s="6" t="n">
        <v>200</v>
      </c>
      <c r="I393" s="6" t="n">
        <v>200</v>
      </c>
      <c r="J393" s="6" t="n">
        <v>28.1</v>
      </c>
      <c r="K393" s="6" t="n">
        <v>501</v>
      </c>
      <c r="L393" s="6" t="n">
        <v>481</v>
      </c>
      <c r="M393" s="6" t="n">
        <f aca="false">IF(AND(ISNUMBER(K393),ISNUMBER(L393)),ROUND(K393/L393,2),"")</f>
        <v>1.04</v>
      </c>
      <c r="N393" s="7"/>
      <c r="O393" s="8" t="s">
        <v>6</v>
      </c>
      <c r="P393" s="7" t="s">
        <v>826</v>
      </c>
      <c r="Q393" s="7"/>
      <c r="R393" s="6" t="s">
        <v>475</v>
      </c>
    </row>
    <row r="394" customFormat="false" ht="15" hidden="false" customHeight="false" outlineLevel="0" collapsed="false">
      <c r="A394" s="6" t="n">
        <v>393</v>
      </c>
      <c r="B394" s="6" t="s">
        <v>30</v>
      </c>
      <c r="C394" s="10" t="s">
        <v>58</v>
      </c>
      <c r="D394" s="6" t="s">
        <v>51</v>
      </c>
      <c r="E394" s="6" t="s">
        <v>825</v>
      </c>
      <c r="F394" s="9" t="s">
        <v>288</v>
      </c>
      <c r="G394" s="6" t="s">
        <v>54</v>
      </c>
      <c r="H394" s="6" t="n">
        <v>200</v>
      </c>
      <c r="I394" s="6" t="n">
        <v>200</v>
      </c>
      <c r="J394" s="6" t="n">
        <v>109.7</v>
      </c>
      <c r="K394" s="6" t="n">
        <v>1377</v>
      </c>
      <c r="L394" s="6" t="n">
        <v>768</v>
      </c>
      <c r="M394" s="6" t="n">
        <f aca="false">IF(AND(ISNUMBER(K394),ISNUMBER(L394)),ROUND(K394/L394,2),"")</f>
        <v>1.79</v>
      </c>
      <c r="N394" s="7"/>
      <c r="O394" s="8" t="s">
        <v>6</v>
      </c>
      <c r="P394" s="7" t="s">
        <v>826</v>
      </c>
      <c r="Q394" s="7"/>
      <c r="R394" s="6" t="s">
        <v>290</v>
      </c>
    </row>
    <row r="395" customFormat="false" ht="15" hidden="false" customHeight="false" outlineLevel="0" collapsed="false">
      <c r="A395" s="6" t="n">
        <v>394</v>
      </c>
      <c r="B395" s="6" t="s">
        <v>30</v>
      </c>
      <c r="C395" s="10" t="s">
        <v>58</v>
      </c>
      <c r="D395" s="6" t="s">
        <v>51</v>
      </c>
      <c r="E395" s="6" t="s">
        <v>825</v>
      </c>
      <c r="F395" s="7" t="s">
        <v>210</v>
      </c>
      <c r="G395" s="6" t="s">
        <v>54</v>
      </c>
      <c r="H395" s="6" t="n">
        <v>200</v>
      </c>
      <c r="I395" s="6" t="n">
        <v>200</v>
      </c>
      <c r="J395" s="6" t="n">
        <v>123.5</v>
      </c>
      <c r="K395" s="6" t="n">
        <v>1672</v>
      </c>
      <c r="L395" s="6" t="n">
        <v>941</v>
      </c>
      <c r="M395" s="6" t="n">
        <f aca="false">IF(AND(ISNUMBER(K395),ISNUMBER(L395)),ROUND(K395/L395,2),"")</f>
        <v>1.78</v>
      </c>
      <c r="N395" s="7"/>
      <c r="O395" s="8" t="s">
        <v>6</v>
      </c>
      <c r="P395" s="7" t="s">
        <v>826</v>
      </c>
      <c r="Q395" s="7"/>
      <c r="R395" s="6" t="s">
        <v>212</v>
      </c>
    </row>
    <row r="396" customFormat="false" ht="15" hidden="false" customHeight="false" outlineLevel="0" collapsed="false">
      <c r="A396" s="6" t="n">
        <v>395</v>
      </c>
      <c r="B396" s="6" t="s">
        <v>30</v>
      </c>
      <c r="C396" s="10" t="s">
        <v>58</v>
      </c>
      <c r="D396" s="6" t="s">
        <v>51</v>
      </c>
      <c r="E396" s="6" t="s">
        <v>825</v>
      </c>
      <c r="F396" s="7" t="s">
        <v>201</v>
      </c>
      <c r="G396" s="6" t="s">
        <v>54</v>
      </c>
      <c r="H396" s="6" t="n">
        <v>200</v>
      </c>
      <c r="I396" s="6" t="n">
        <v>200</v>
      </c>
      <c r="J396" s="6" t="n">
        <v>164.4</v>
      </c>
      <c r="K396" s="6" t="n">
        <v>1376</v>
      </c>
      <c r="L396" s="6" t="n">
        <v>768</v>
      </c>
      <c r="M396" s="6" t="n">
        <f aca="false">IF(AND(ISNUMBER(K396),ISNUMBER(L396)),ROUND(K396/L396,2),"")</f>
        <v>1.79</v>
      </c>
      <c r="N396" s="7"/>
      <c r="O396" s="8" t="s">
        <v>6</v>
      </c>
      <c r="P396" s="7" t="s">
        <v>829</v>
      </c>
      <c r="Q396" s="7"/>
      <c r="R396" s="6" t="s">
        <v>203</v>
      </c>
    </row>
    <row r="397" customFormat="false" ht="15" hidden="false" customHeight="false" outlineLevel="0" collapsed="false">
      <c r="A397" s="6" t="n">
        <v>396</v>
      </c>
      <c r="B397" s="6" t="s">
        <v>30</v>
      </c>
      <c r="C397" s="10" t="s">
        <v>58</v>
      </c>
      <c r="D397" s="6" t="s">
        <v>51</v>
      </c>
      <c r="E397" s="6" t="s">
        <v>825</v>
      </c>
      <c r="F397" s="7" t="s">
        <v>60</v>
      </c>
      <c r="G397" s="6" t="s">
        <v>54</v>
      </c>
      <c r="H397" s="6" t="n">
        <v>200</v>
      </c>
      <c r="I397" s="6" t="n">
        <v>200</v>
      </c>
      <c r="J397" s="6" t="n">
        <v>228.8</v>
      </c>
      <c r="K397" s="6" t="n">
        <v>1920</v>
      </c>
      <c r="L397" s="6" t="n">
        <v>654</v>
      </c>
      <c r="M397" s="6" t="n">
        <f aca="false">IF(AND(ISNUMBER(K397),ISNUMBER(L397)),ROUND(K397/L397,2),"")</f>
        <v>2.94</v>
      </c>
      <c r="N397" s="7"/>
      <c r="O397" s="8" t="s">
        <v>6</v>
      </c>
      <c r="P397" s="7" t="s">
        <v>830</v>
      </c>
      <c r="Q397" s="7"/>
      <c r="R397" s="6" t="s">
        <v>63</v>
      </c>
    </row>
    <row r="398" customFormat="false" ht="15" hidden="false" customHeight="false" outlineLevel="0" collapsed="false">
      <c r="A398" s="6" t="n">
        <v>397</v>
      </c>
      <c r="B398" s="6" t="s">
        <v>30</v>
      </c>
      <c r="C398" s="10" t="s">
        <v>58</v>
      </c>
      <c r="D398" s="6" t="s">
        <v>51</v>
      </c>
      <c r="E398" s="6" t="s">
        <v>825</v>
      </c>
      <c r="F398" s="9" t="s">
        <v>831</v>
      </c>
      <c r="G398" s="6" t="s">
        <v>54</v>
      </c>
      <c r="H398" s="6" t="n">
        <v>200</v>
      </c>
      <c r="I398" s="6" t="n">
        <v>200</v>
      </c>
      <c r="J398" s="6" t="n">
        <v>47.6</v>
      </c>
      <c r="K398" s="6" t="n">
        <v>941</v>
      </c>
      <c r="L398" s="6" t="n">
        <v>864</v>
      </c>
      <c r="M398" s="6" t="n">
        <f aca="false">IF(AND(ISNUMBER(K398),ISNUMBER(L398)),ROUND(K398/L398,2),"")</f>
        <v>1.09</v>
      </c>
      <c r="N398" s="7"/>
      <c r="O398" s="8" t="s">
        <v>6</v>
      </c>
      <c r="P398" s="7" t="s">
        <v>826</v>
      </c>
      <c r="Q398" s="7"/>
      <c r="R398" s="6" t="s">
        <v>832</v>
      </c>
    </row>
    <row r="399" customFormat="false" ht="15" hidden="false" customHeight="false" outlineLevel="0" collapsed="false">
      <c r="A399" s="6" t="n">
        <v>398</v>
      </c>
      <c r="B399" s="6" t="s">
        <v>30</v>
      </c>
      <c r="C399" s="10" t="s">
        <v>58</v>
      </c>
      <c r="D399" s="6" t="s">
        <v>51</v>
      </c>
      <c r="E399" s="6" t="s">
        <v>825</v>
      </c>
      <c r="F399" s="7" t="s">
        <v>214</v>
      </c>
      <c r="G399" s="6" t="s">
        <v>54</v>
      </c>
      <c r="H399" s="6" t="n">
        <v>200</v>
      </c>
      <c r="I399" s="6" t="n">
        <v>200</v>
      </c>
      <c r="J399" s="6" t="n">
        <v>10.6</v>
      </c>
      <c r="K399" s="6" t="n">
        <v>500</v>
      </c>
      <c r="L399" s="6" t="n">
        <v>427</v>
      </c>
      <c r="M399" s="6" t="n">
        <f aca="false">IF(AND(ISNUMBER(K399),ISNUMBER(L399)),ROUND(K399/L399,2),"")</f>
        <v>1.17</v>
      </c>
      <c r="N399" s="7"/>
      <c r="O399" s="8" t="s">
        <v>6</v>
      </c>
      <c r="P399" s="7" t="s">
        <v>826</v>
      </c>
      <c r="Q399" s="7"/>
      <c r="R399" s="6" t="s">
        <v>215</v>
      </c>
    </row>
    <row r="400" customFormat="false" ht="15" hidden="false" customHeight="false" outlineLevel="0" collapsed="false">
      <c r="A400" s="6" t="n">
        <v>399</v>
      </c>
      <c r="B400" s="6" t="s">
        <v>30</v>
      </c>
      <c r="C400" s="10" t="s">
        <v>58</v>
      </c>
      <c r="D400" s="6" t="s">
        <v>51</v>
      </c>
      <c r="E400" s="6" t="s">
        <v>825</v>
      </c>
      <c r="F400" s="9" t="s">
        <v>221</v>
      </c>
      <c r="G400" s="6" t="s">
        <v>54</v>
      </c>
      <c r="H400" s="6" t="n">
        <v>200</v>
      </c>
      <c r="I400" s="6" t="n">
        <v>200</v>
      </c>
      <c r="J400" s="6" t="n">
        <v>63.6</v>
      </c>
      <c r="K400" s="6" t="n">
        <v>1264</v>
      </c>
      <c r="L400" s="6" t="n">
        <v>845</v>
      </c>
      <c r="M400" s="6" t="n">
        <f aca="false">IF(AND(ISNUMBER(K400),ISNUMBER(L400)),ROUND(K400/L400,2),"")</f>
        <v>1.5</v>
      </c>
      <c r="N400" s="7"/>
      <c r="O400" s="8" t="s">
        <v>6</v>
      </c>
      <c r="P400" s="7" t="s">
        <v>826</v>
      </c>
      <c r="Q400" s="7"/>
      <c r="R400" s="6" t="s">
        <v>223</v>
      </c>
    </row>
    <row r="401" customFormat="false" ht="15" hidden="false" customHeight="false" outlineLevel="0" collapsed="false">
      <c r="A401" s="6" t="n">
        <v>400</v>
      </c>
      <c r="B401" s="6" t="s">
        <v>30</v>
      </c>
      <c r="C401" s="10" t="s">
        <v>58</v>
      </c>
      <c r="D401" s="6" t="s">
        <v>51</v>
      </c>
      <c r="E401" s="6" t="s">
        <v>833</v>
      </c>
      <c r="F401" s="9" t="s">
        <v>370</v>
      </c>
      <c r="G401" s="6" t="s">
        <v>54</v>
      </c>
      <c r="H401" s="6" t="n">
        <v>200</v>
      </c>
      <c r="I401" s="6" t="n">
        <v>200</v>
      </c>
      <c r="J401" s="6" t="n">
        <v>59.5</v>
      </c>
      <c r="K401" s="6" t="n">
        <v>1040</v>
      </c>
      <c r="L401" s="6" t="n">
        <v>632</v>
      </c>
      <c r="M401" s="6" t="n">
        <f aca="false">IF(AND(ISNUMBER(K401),ISNUMBER(L401)),ROUND(K401/L401,2),"")</f>
        <v>1.65</v>
      </c>
      <c r="N401" s="7"/>
      <c r="O401" s="8" t="s">
        <v>6</v>
      </c>
      <c r="P401" s="7" t="s">
        <v>827</v>
      </c>
      <c r="Q401" s="7"/>
      <c r="R401" s="6" t="s">
        <v>372</v>
      </c>
    </row>
    <row r="402" customFormat="false" ht="15" hidden="false" customHeight="false" outlineLevel="0" collapsed="false">
      <c r="A402" s="6" t="n">
        <v>401</v>
      </c>
      <c r="B402" s="6" t="s">
        <v>30</v>
      </c>
      <c r="C402" s="10" t="s">
        <v>58</v>
      </c>
      <c r="D402" s="6" t="s">
        <v>51</v>
      </c>
      <c r="E402" s="6" t="s">
        <v>833</v>
      </c>
      <c r="F402" s="9" t="s">
        <v>596</v>
      </c>
      <c r="G402" s="6" t="s">
        <v>54</v>
      </c>
      <c r="H402" s="6" t="n">
        <v>200</v>
      </c>
      <c r="I402" s="6" t="n">
        <v>200</v>
      </c>
      <c r="J402" s="6" t="n">
        <v>46.3</v>
      </c>
      <c r="K402" s="6" t="n">
        <v>1040</v>
      </c>
      <c r="L402" s="6" t="n">
        <v>632</v>
      </c>
      <c r="M402" s="6" t="n">
        <f aca="false">IF(AND(ISNUMBER(K402),ISNUMBER(L402)),ROUND(K402/L402,2),"")</f>
        <v>1.65</v>
      </c>
      <c r="N402" s="7"/>
      <c r="O402" s="8" t="s">
        <v>6</v>
      </c>
      <c r="P402" s="7" t="s">
        <v>826</v>
      </c>
      <c r="Q402" s="7"/>
      <c r="R402" s="6" t="s">
        <v>598</v>
      </c>
    </row>
    <row r="403" customFormat="false" ht="15" hidden="false" customHeight="false" outlineLevel="0" collapsed="false">
      <c r="A403" s="6" t="n">
        <v>402</v>
      </c>
      <c r="B403" s="6" t="s">
        <v>30</v>
      </c>
      <c r="C403" s="10" t="s">
        <v>58</v>
      </c>
      <c r="D403" s="6" t="s">
        <v>51</v>
      </c>
      <c r="E403" s="6" t="s">
        <v>833</v>
      </c>
      <c r="F403" s="9" t="s">
        <v>834</v>
      </c>
      <c r="G403" s="6" t="s">
        <v>54</v>
      </c>
      <c r="H403" s="6" t="n">
        <v>200</v>
      </c>
      <c r="I403" s="6" t="n">
        <v>200</v>
      </c>
      <c r="J403" s="6" t="n">
        <v>41.7</v>
      </c>
      <c r="K403" s="6" t="n">
        <v>1040</v>
      </c>
      <c r="L403" s="6" t="n">
        <v>632</v>
      </c>
      <c r="M403" s="6" t="n">
        <f aca="false">IF(AND(ISNUMBER(K403),ISNUMBER(L403)),ROUND(K403/L403,2),"")</f>
        <v>1.65</v>
      </c>
      <c r="N403" s="7"/>
      <c r="O403" s="8" t="s">
        <v>6</v>
      </c>
      <c r="P403" s="7" t="s">
        <v>827</v>
      </c>
      <c r="Q403" s="7"/>
      <c r="R403" s="6" t="s">
        <v>835</v>
      </c>
    </row>
    <row r="404" customFormat="false" ht="15" hidden="false" customHeight="false" outlineLevel="0" collapsed="false">
      <c r="A404" s="6" t="n">
        <v>403</v>
      </c>
      <c r="B404" s="6" t="s">
        <v>30</v>
      </c>
      <c r="C404" s="10" t="s">
        <v>58</v>
      </c>
      <c r="D404" s="6" t="s">
        <v>51</v>
      </c>
      <c r="E404" s="6" t="s">
        <v>833</v>
      </c>
      <c r="F404" s="9" t="s">
        <v>836</v>
      </c>
      <c r="G404" s="6" t="s">
        <v>54</v>
      </c>
      <c r="H404" s="6" t="n">
        <v>200</v>
      </c>
      <c r="I404" s="6" t="n">
        <v>200</v>
      </c>
      <c r="J404" s="6" t="n">
        <v>96.9</v>
      </c>
      <c r="K404" s="6" t="n">
        <v>1024</v>
      </c>
      <c r="L404" s="6" t="n">
        <v>682</v>
      </c>
      <c r="M404" s="6" t="n">
        <f aca="false">IF(AND(ISNUMBER(K404),ISNUMBER(L404)),ROUND(K404/L404,2),"")</f>
        <v>1.5</v>
      </c>
      <c r="N404" s="7"/>
      <c r="O404" s="8" t="s">
        <v>6</v>
      </c>
      <c r="P404" s="7" t="s">
        <v>826</v>
      </c>
      <c r="Q404" s="7"/>
      <c r="R404" s="6" t="s">
        <v>837</v>
      </c>
    </row>
    <row r="405" customFormat="false" ht="15" hidden="false" customHeight="false" outlineLevel="0" collapsed="false">
      <c r="A405" s="6" t="n">
        <v>404</v>
      </c>
      <c r="B405" s="6" t="s">
        <v>30</v>
      </c>
      <c r="C405" s="10" t="s">
        <v>58</v>
      </c>
      <c r="D405" s="6" t="s">
        <v>51</v>
      </c>
      <c r="E405" s="6" t="s">
        <v>833</v>
      </c>
      <c r="F405" s="9" t="s">
        <v>838</v>
      </c>
      <c r="G405" s="6" t="s">
        <v>54</v>
      </c>
      <c r="H405" s="6" t="n">
        <v>200</v>
      </c>
      <c r="I405" s="6" t="n">
        <v>200</v>
      </c>
      <c r="J405" s="6" t="n">
        <v>33.4</v>
      </c>
      <c r="K405" s="6" t="n">
        <v>730</v>
      </c>
      <c r="L405" s="6" t="n">
        <v>411</v>
      </c>
      <c r="M405" s="6" t="n">
        <f aca="false">IF(AND(ISNUMBER(K405),ISNUMBER(L405)),ROUND(K405/L405,2),"")</f>
        <v>1.78</v>
      </c>
      <c r="N405" s="7"/>
      <c r="O405" s="8" t="s">
        <v>6</v>
      </c>
      <c r="P405" s="7" t="s">
        <v>826</v>
      </c>
      <c r="Q405" s="7"/>
      <c r="R405" s="6" t="s">
        <v>839</v>
      </c>
    </row>
    <row r="406" customFormat="false" ht="15" hidden="false" customHeight="false" outlineLevel="0" collapsed="false">
      <c r="A406" s="6" t="n">
        <v>405</v>
      </c>
      <c r="B406" s="6" t="s">
        <v>30</v>
      </c>
      <c r="C406" s="10" t="s">
        <v>58</v>
      </c>
      <c r="D406" s="6" t="s">
        <v>51</v>
      </c>
      <c r="E406" s="6" t="s">
        <v>833</v>
      </c>
      <c r="F406" s="9" t="s">
        <v>840</v>
      </c>
      <c r="G406" s="6" t="s">
        <v>54</v>
      </c>
      <c r="H406" s="6" t="n">
        <v>200</v>
      </c>
      <c r="I406" s="6" t="n">
        <v>200</v>
      </c>
      <c r="J406" s="6" t="n">
        <v>66.1</v>
      </c>
      <c r="K406" s="6" t="n">
        <v>600</v>
      </c>
      <c r="L406" s="6" t="n">
        <v>450</v>
      </c>
      <c r="M406" s="6" t="n">
        <f aca="false">IF(AND(ISNUMBER(K406),ISNUMBER(L406)),ROUND(K406/L406,2),"")</f>
        <v>1.33</v>
      </c>
      <c r="N406" s="7"/>
      <c r="O406" s="8" t="s">
        <v>6</v>
      </c>
      <c r="P406" s="7" t="s">
        <v>826</v>
      </c>
      <c r="Q406" s="7"/>
      <c r="R406" s="6" t="s">
        <v>841</v>
      </c>
    </row>
    <row r="407" customFormat="false" ht="15" hidden="false" customHeight="false" outlineLevel="0" collapsed="false">
      <c r="A407" s="6" t="n">
        <v>406</v>
      </c>
      <c r="B407" s="6" t="s">
        <v>30</v>
      </c>
      <c r="C407" s="10" t="s">
        <v>58</v>
      </c>
      <c r="D407" s="6" t="s">
        <v>51</v>
      </c>
      <c r="E407" s="6" t="s">
        <v>833</v>
      </c>
      <c r="F407" s="9" t="s">
        <v>842</v>
      </c>
      <c r="G407" s="6" t="s">
        <v>54</v>
      </c>
      <c r="H407" s="6" t="n">
        <v>200</v>
      </c>
      <c r="I407" s="6" t="n">
        <v>200</v>
      </c>
      <c r="J407" s="6" t="n">
        <v>30.1</v>
      </c>
      <c r="K407" s="6" t="n">
        <v>450</v>
      </c>
      <c r="L407" s="6" t="n">
        <v>310</v>
      </c>
      <c r="M407" s="6" t="n">
        <f aca="false">IF(AND(ISNUMBER(K407),ISNUMBER(L407)),ROUND(K407/L407,2),"")</f>
        <v>1.45</v>
      </c>
      <c r="N407" s="7"/>
      <c r="O407" s="8" t="s">
        <v>6</v>
      </c>
      <c r="P407" s="7" t="s">
        <v>826</v>
      </c>
      <c r="Q407" s="7"/>
      <c r="R407" s="6" t="s">
        <v>843</v>
      </c>
    </row>
    <row r="408" customFormat="false" ht="15" hidden="false" customHeight="false" outlineLevel="0" collapsed="false">
      <c r="A408" s="6" t="n">
        <v>407</v>
      </c>
      <c r="B408" s="6" t="s">
        <v>30</v>
      </c>
      <c r="C408" s="10" t="s">
        <v>58</v>
      </c>
      <c r="D408" s="6" t="s">
        <v>51</v>
      </c>
      <c r="E408" s="6" t="s">
        <v>833</v>
      </c>
      <c r="F408" s="9" t="s">
        <v>844</v>
      </c>
      <c r="G408" s="6" t="s">
        <v>54</v>
      </c>
      <c r="H408" s="6" t="n">
        <v>200</v>
      </c>
      <c r="I408" s="6" t="n">
        <v>200</v>
      </c>
      <c r="J408" s="6" t="n">
        <v>43.7</v>
      </c>
      <c r="K408" s="6" t="n">
        <v>600</v>
      </c>
      <c r="L408" s="6" t="n">
        <v>329</v>
      </c>
      <c r="M408" s="6" t="n">
        <f aca="false">IF(AND(ISNUMBER(K408),ISNUMBER(L408)),ROUND(K408/L408,2),"")</f>
        <v>1.82</v>
      </c>
      <c r="N408" s="7"/>
      <c r="O408" s="8" t="s">
        <v>6</v>
      </c>
      <c r="P408" s="7" t="s">
        <v>826</v>
      </c>
      <c r="Q408" s="7"/>
      <c r="R408" s="6" t="s">
        <v>845</v>
      </c>
    </row>
    <row r="409" customFormat="false" ht="15" hidden="false" customHeight="false" outlineLevel="0" collapsed="false">
      <c r="A409" s="6" t="n">
        <v>408</v>
      </c>
      <c r="B409" s="6" t="s">
        <v>30</v>
      </c>
      <c r="C409" s="10" t="s">
        <v>58</v>
      </c>
      <c r="D409" s="6" t="s">
        <v>51</v>
      </c>
      <c r="E409" s="6" t="s">
        <v>833</v>
      </c>
      <c r="F409" s="9" t="s">
        <v>846</v>
      </c>
      <c r="G409" s="6" t="s">
        <v>54</v>
      </c>
      <c r="H409" s="6" t="n">
        <v>200</v>
      </c>
      <c r="I409" s="6" t="n">
        <v>200</v>
      </c>
      <c r="J409" s="6" t="n">
        <v>29.3</v>
      </c>
      <c r="K409" s="6" t="n">
        <v>640</v>
      </c>
      <c r="L409" s="6" t="n">
        <v>371</v>
      </c>
      <c r="M409" s="6" t="n">
        <f aca="false">IF(AND(ISNUMBER(K409),ISNUMBER(L409)),ROUND(K409/L409,2),"")</f>
        <v>1.73</v>
      </c>
      <c r="N409" s="7"/>
      <c r="O409" s="8" t="s">
        <v>6</v>
      </c>
      <c r="P409" s="7" t="s">
        <v>826</v>
      </c>
      <c r="Q409" s="7"/>
      <c r="R409" s="6" t="s">
        <v>847</v>
      </c>
    </row>
    <row r="410" customFormat="false" ht="15" hidden="false" customHeight="false" outlineLevel="0" collapsed="false">
      <c r="A410" s="6" t="n">
        <v>409</v>
      </c>
      <c r="B410" s="6" t="s">
        <v>30</v>
      </c>
      <c r="C410" s="10" t="s">
        <v>58</v>
      </c>
      <c r="D410" s="6" t="s">
        <v>51</v>
      </c>
      <c r="E410" s="6" t="s">
        <v>833</v>
      </c>
      <c r="F410" s="9" t="s">
        <v>848</v>
      </c>
      <c r="G410" s="6" t="s">
        <v>54</v>
      </c>
      <c r="H410" s="6" t="n">
        <v>200</v>
      </c>
      <c r="I410" s="6" t="n">
        <v>200</v>
      </c>
      <c r="J410" s="6" t="n">
        <v>8.9</v>
      </c>
      <c r="K410" s="6" t="n">
        <v>280</v>
      </c>
      <c r="L410" s="6" t="n">
        <v>160</v>
      </c>
      <c r="M410" s="6" t="n">
        <f aca="false">IF(AND(ISNUMBER(K410),ISNUMBER(L410)),ROUND(K410/L410,2),"")</f>
        <v>1.75</v>
      </c>
      <c r="N410" s="7"/>
      <c r="O410" s="8" t="s">
        <v>6</v>
      </c>
      <c r="P410" s="7" t="s">
        <v>826</v>
      </c>
      <c r="Q410" s="7"/>
      <c r="R410" s="6" t="s">
        <v>849</v>
      </c>
    </row>
    <row r="411" customFormat="false" ht="15" hidden="false" customHeight="false" outlineLevel="0" collapsed="false">
      <c r="A411" s="6" t="n">
        <v>410</v>
      </c>
      <c r="B411" s="6" t="s">
        <v>30</v>
      </c>
      <c r="C411" s="10" t="s">
        <v>58</v>
      </c>
      <c r="D411" s="6" t="s">
        <v>51</v>
      </c>
      <c r="E411" s="6" t="s">
        <v>833</v>
      </c>
      <c r="F411" s="9" t="s">
        <v>358</v>
      </c>
      <c r="G411" s="6" t="s">
        <v>54</v>
      </c>
      <c r="H411" s="6" t="n">
        <v>200</v>
      </c>
      <c r="I411" s="6" t="n">
        <v>200</v>
      </c>
      <c r="J411" s="6" t="n">
        <v>100.6</v>
      </c>
      <c r="K411" s="6" t="n">
        <v>1365</v>
      </c>
      <c r="L411" s="6" t="n">
        <v>768</v>
      </c>
      <c r="M411" s="6" t="n">
        <f aca="false">IF(AND(ISNUMBER(K411),ISNUMBER(L411)),ROUND(K411/L411,2),"")</f>
        <v>1.78</v>
      </c>
      <c r="N411" s="7"/>
      <c r="O411" s="8" t="s">
        <v>6</v>
      </c>
      <c r="P411" s="7" t="s">
        <v>827</v>
      </c>
      <c r="Q411" s="7"/>
      <c r="R411" s="6" t="s">
        <v>360</v>
      </c>
    </row>
    <row r="412" customFormat="false" ht="15" hidden="false" customHeight="false" outlineLevel="0" collapsed="false">
      <c r="A412" s="6" t="n">
        <v>411</v>
      </c>
      <c r="B412" s="6" t="s">
        <v>30</v>
      </c>
      <c r="C412" s="10" t="s">
        <v>58</v>
      </c>
      <c r="D412" s="6" t="s">
        <v>51</v>
      </c>
      <c r="E412" s="6" t="s">
        <v>833</v>
      </c>
      <c r="F412" s="7" t="s">
        <v>850</v>
      </c>
      <c r="G412" s="6" t="s">
        <v>54</v>
      </c>
      <c r="H412" s="6" t="n">
        <v>200</v>
      </c>
      <c r="I412" s="6" t="n">
        <v>200</v>
      </c>
      <c r="J412" s="6" t="n">
        <v>238.6</v>
      </c>
      <c r="K412" s="6" t="n">
        <v>1870</v>
      </c>
      <c r="L412" s="6" t="n">
        <v>841</v>
      </c>
      <c r="M412" s="6" t="n">
        <f aca="false">IF(AND(ISNUMBER(K412),ISNUMBER(L412)),ROUND(K412/L412,2),"")</f>
        <v>2.22</v>
      </c>
      <c r="N412" s="7"/>
      <c r="O412" s="8" t="s">
        <v>6</v>
      </c>
      <c r="P412" s="7" t="s">
        <v>827</v>
      </c>
      <c r="Q412" s="7"/>
      <c r="R412" s="6" t="s">
        <v>851</v>
      </c>
    </row>
    <row r="413" customFormat="false" ht="15" hidden="false" customHeight="false" outlineLevel="0" collapsed="false">
      <c r="A413" s="6" t="n">
        <v>412</v>
      </c>
      <c r="B413" s="6" t="s">
        <v>30</v>
      </c>
      <c r="C413" s="10" t="s">
        <v>58</v>
      </c>
      <c r="D413" s="6" t="s">
        <v>51</v>
      </c>
      <c r="E413" s="6" t="s">
        <v>833</v>
      </c>
      <c r="F413" s="9" t="s">
        <v>852</v>
      </c>
      <c r="G413" s="6" t="s">
        <v>54</v>
      </c>
      <c r="H413" s="6" t="n">
        <v>200</v>
      </c>
      <c r="I413" s="6" t="n">
        <v>200</v>
      </c>
      <c r="J413" s="6" t="n">
        <v>46.5</v>
      </c>
      <c r="K413" s="6" t="n">
        <v>1124</v>
      </c>
      <c r="L413" s="6" t="n">
        <v>632</v>
      </c>
      <c r="M413" s="6" t="n">
        <f aca="false">IF(AND(ISNUMBER(K413),ISNUMBER(L413)),ROUND(K413/L413,2),"")</f>
        <v>1.78</v>
      </c>
      <c r="N413" s="7"/>
      <c r="O413" s="8" t="s">
        <v>6</v>
      </c>
      <c r="P413" s="7" t="s">
        <v>827</v>
      </c>
      <c r="Q413" s="7"/>
      <c r="R413" s="6" t="s">
        <v>853</v>
      </c>
    </row>
    <row r="414" customFormat="false" ht="15" hidden="false" customHeight="false" outlineLevel="0" collapsed="false">
      <c r="A414" s="6" t="n">
        <v>413</v>
      </c>
      <c r="B414" s="6" t="s">
        <v>30</v>
      </c>
      <c r="C414" s="10" t="s">
        <v>58</v>
      </c>
      <c r="D414" s="6" t="s">
        <v>51</v>
      </c>
      <c r="E414" s="6" t="s">
        <v>833</v>
      </c>
      <c r="F414" s="7" t="s">
        <v>362</v>
      </c>
      <c r="G414" s="6" t="s">
        <v>54</v>
      </c>
      <c r="H414" s="6" t="n">
        <v>200</v>
      </c>
      <c r="I414" s="6" t="n">
        <v>200</v>
      </c>
      <c r="J414" s="6" t="n">
        <v>62.4</v>
      </c>
      <c r="K414" s="6" t="n">
        <v>1027</v>
      </c>
      <c r="L414" s="6" t="n">
        <v>535</v>
      </c>
      <c r="M414" s="6" t="n">
        <f aca="false">IF(AND(ISNUMBER(K414),ISNUMBER(L414)),ROUND(K414/L414,2),"")</f>
        <v>1.92</v>
      </c>
      <c r="N414" s="7"/>
      <c r="O414" s="8" t="s">
        <v>6</v>
      </c>
      <c r="P414" s="7" t="s">
        <v>829</v>
      </c>
      <c r="Q414" s="7"/>
      <c r="R414" s="6" t="s">
        <v>364</v>
      </c>
    </row>
    <row r="415" customFormat="false" ht="15" hidden="false" customHeight="false" outlineLevel="0" collapsed="false">
      <c r="A415" s="6" t="n">
        <v>414</v>
      </c>
      <c r="B415" s="6" t="s">
        <v>30</v>
      </c>
      <c r="C415" s="10" t="s">
        <v>58</v>
      </c>
      <c r="D415" s="6" t="s">
        <v>51</v>
      </c>
      <c r="E415" s="6" t="s">
        <v>833</v>
      </c>
      <c r="F415" s="7" t="s">
        <v>60</v>
      </c>
      <c r="G415" s="6" t="s">
        <v>54</v>
      </c>
      <c r="H415" s="6" t="n">
        <v>200</v>
      </c>
      <c r="I415" s="6" t="n">
        <v>200</v>
      </c>
      <c r="J415" s="6" t="n">
        <v>228.8</v>
      </c>
      <c r="K415" s="6" t="n">
        <v>1920</v>
      </c>
      <c r="L415" s="6" t="n">
        <v>654</v>
      </c>
      <c r="M415" s="6" t="n">
        <f aca="false">IF(AND(ISNUMBER(K415),ISNUMBER(L415)),ROUND(K415/L415,2),"")</f>
        <v>2.94</v>
      </c>
      <c r="N415" s="7"/>
      <c r="O415" s="8" t="s">
        <v>6</v>
      </c>
      <c r="P415" s="7" t="s">
        <v>830</v>
      </c>
      <c r="Q415" s="7"/>
      <c r="R415" s="6" t="s">
        <v>63</v>
      </c>
    </row>
    <row r="416" customFormat="false" ht="15" hidden="false" customHeight="false" outlineLevel="0" collapsed="false">
      <c r="A416" s="6" t="n">
        <v>415</v>
      </c>
      <c r="B416" s="6" t="s">
        <v>30</v>
      </c>
      <c r="C416" s="10" t="s">
        <v>58</v>
      </c>
      <c r="D416" s="6" t="s">
        <v>51</v>
      </c>
      <c r="E416" s="6" t="s">
        <v>833</v>
      </c>
      <c r="F416" s="7" t="s">
        <v>79</v>
      </c>
      <c r="G416" s="6" t="s">
        <v>54</v>
      </c>
      <c r="H416" s="6" t="n">
        <v>200</v>
      </c>
      <c r="I416" s="6" t="n">
        <v>200</v>
      </c>
      <c r="J416" s="6" t="n">
        <v>101</v>
      </c>
      <c r="K416" s="6" t="n">
        <v>1376</v>
      </c>
      <c r="L416" s="6" t="n">
        <v>768</v>
      </c>
      <c r="M416" s="6" t="n">
        <f aca="false">IF(AND(ISNUMBER(K416),ISNUMBER(L416)),ROUND(K416/L416,2),"")</f>
        <v>1.79</v>
      </c>
      <c r="N416" s="7"/>
      <c r="O416" s="8" t="s">
        <v>6</v>
      </c>
      <c r="P416" s="7" t="s">
        <v>826</v>
      </c>
      <c r="Q416" s="7"/>
      <c r="R416" s="6" t="s">
        <v>81</v>
      </c>
    </row>
    <row r="417" customFormat="false" ht="15" hidden="false" customHeight="false" outlineLevel="0" collapsed="false">
      <c r="A417" s="6" t="n">
        <v>416</v>
      </c>
      <c r="B417" s="6" t="s">
        <v>30</v>
      </c>
      <c r="C417" s="10" t="s">
        <v>58</v>
      </c>
      <c r="D417" s="6" t="s">
        <v>51</v>
      </c>
      <c r="E417" s="6" t="s">
        <v>833</v>
      </c>
      <c r="F417" s="9" t="s">
        <v>65</v>
      </c>
      <c r="G417" s="6" t="s">
        <v>54</v>
      </c>
      <c r="H417" s="6" t="n">
        <v>200</v>
      </c>
      <c r="I417" s="6" t="n">
        <v>200</v>
      </c>
      <c r="J417" s="6" t="n">
        <v>173.2</v>
      </c>
      <c r="K417" s="6" t="n">
        <v>1512</v>
      </c>
      <c r="L417" s="6" t="n">
        <v>1040</v>
      </c>
      <c r="M417" s="6" t="n">
        <f aca="false">IF(AND(ISNUMBER(K417),ISNUMBER(L417)),ROUND(K417/L417,2),"")</f>
        <v>1.45</v>
      </c>
      <c r="N417" s="7"/>
      <c r="O417" s="8" t="s">
        <v>6</v>
      </c>
      <c r="P417" s="7" t="s">
        <v>826</v>
      </c>
      <c r="Q417" s="7"/>
      <c r="R417" s="6" t="s">
        <v>68</v>
      </c>
    </row>
    <row r="418" customFormat="false" ht="15" hidden="false" customHeight="false" outlineLevel="0" collapsed="false">
      <c r="A418" s="6" t="n">
        <v>417</v>
      </c>
      <c r="B418" s="6" t="s">
        <v>30</v>
      </c>
      <c r="C418" s="10" t="s">
        <v>58</v>
      </c>
      <c r="D418" s="6" t="s">
        <v>51</v>
      </c>
      <c r="E418" s="6" t="s">
        <v>833</v>
      </c>
      <c r="F418" s="7" t="s">
        <v>465</v>
      </c>
      <c r="G418" s="6" t="s">
        <v>54</v>
      </c>
      <c r="H418" s="6" t="n">
        <v>200</v>
      </c>
      <c r="I418" s="6" t="n">
        <v>200</v>
      </c>
      <c r="J418" s="6" t="n">
        <v>150.2</v>
      </c>
      <c r="K418" s="6" t="n">
        <v>1915</v>
      </c>
      <c r="L418" s="6" t="n">
        <v>821</v>
      </c>
      <c r="M418" s="6" t="n">
        <f aca="false">IF(AND(ISNUMBER(K418),ISNUMBER(L418)),ROUND(K418/L418,2),"")</f>
        <v>2.33</v>
      </c>
      <c r="N418" s="7"/>
      <c r="O418" s="8" t="s">
        <v>6</v>
      </c>
      <c r="P418" s="7" t="s">
        <v>826</v>
      </c>
      <c r="Q418" s="7"/>
      <c r="R418" s="6" t="s">
        <v>467</v>
      </c>
    </row>
    <row r="419" customFormat="false" ht="15" hidden="false" customHeight="false" outlineLevel="0" collapsed="false">
      <c r="A419" s="6" t="n">
        <v>418</v>
      </c>
      <c r="B419" s="6" t="s">
        <v>30</v>
      </c>
      <c r="C419" s="10" t="s">
        <v>58</v>
      </c>
      <c r="D419" s="6" t="s">
        <v>51</v>
      </c>
      <c r="E419" s="6" t="s">
        <v>833</v>
      </c>
      <c r="F419" s="7" t="s">
        <v>201</v>
      </c>
      <c r="G419" s="6" t="s">
        <v>54</v>
      </c>
      <c r="H419" s="6" t="n">
        <v>200</v>
      </c>
      <c r="I419" s="6" t="n">
        <v>200</v>
      </c>
      <c r="J419" s="6" t="n">
        <v>164.4</v>
      </c>
      <c r="K419" s="6" t="n">
        <v>1376</v>
      </c>
      <c r="L419" s="6" t="n">
        <v>768</v>
      </c>
      <c r="M419" s="6" t="n">
        <f aca="false">IF(AND(ISNUMBER(K419),ISNUMBER(L419)),ROUND(K419/L419,2),"")</f>
        <v>1.79</v>
      </c>
      <c r="N419" s="7"/>
      <c r="O419" s="8" t="s">
        <v>6</v>
      </c>
      <c r="P419" s="7" t="s">
        <v>829</v>
      </c>
      <c r="Q419" s="7"/>
      <c r="R419" s="6" t="s">
        <v>203</v>
      </c>
    </row>
    <row r="420" customFormat="false" ht="15" hidden="false" customHeight="false" outlineLevel="0" collapsed="false">
      <c r="A420" s="6" t="n">
        <v>419</v>
      </c>
      <c r="B420" s="6" t="s">
        <v>30</v>
      </c>
      <c r="C420" s="10" t="s">
        <v>58</v>
      </c>
      <c r="D420" s="6" t="s">
        <v>51</v>
      </c>
      <c r="E420" s="6" t="s">
        <v>833</v>
      </c>
      <c r="F420" s="9" t="s">
        <v>854</v>
      </c>
      <c r="G420" s="6" t="s">
        <v>54</v>
      </c>
      <c r="H420" s="6" t="n">
        <v>200</v>
      </c>
      <c r="I420" s="6" t="n">
        <v>200</v>
      </c>
      <c r="J420" s="6" t="n">
        <v>289.4</v>
      </c>
      <c r="K420" s="6" t="n">
        <v>1510</v>
      </c>
      <c r="L420" s="6" t="n">
        <v>1042</v>
      </c>
      <c r="M420" s="6" t="n">
        <f aca="false">IF(AND(ISNUMBER(K420),ISNUMBER(L420)),ROUND(K420/L420,2),"")</f>
        <v>1.45</v>
      </c>
      <c r="N420" s="7"/>
      <c r="O420" s="8" t="s">
        <v>6</v>
      </c>
      <c r="P420" s="7" t="s">
        <v>826</v>
      </c>
      <c r="Q420" s="7"/>
      <c r="R420" s="6" t="s">
        <v>855</v>
      </c>
    </row>
    <row r="421" customFormat="false" ht="15" hidden="false" customHeight="false" outlineLevel="0" collapsed="false">
      <c r="A421" s="6" t="n">
        <v>420</v>
      </c>
      <c r="B421" s="6" t="s">
        <v>30</v>
      </c>
      <c r="C421" s="10" t="s">
        <v>58</v>
      </c>
      <c r="D421" s="6" t="s">
        <v>51</v>
      </c>
      <c r="E421" s="6" t="s">
        <v>833</v>
      </c>
      <c r="F421" s="7" t="s">
        <v>362</v>
      </c>
      <c r="G421" s="6" t="s">
        <v>54</v>
      </c>
      <c r="H421" s="6" t="n">
        <v>200</v>
      </c>
      <c r="I421" s="6" t="n">
        <v>200</v>
      </c>
      <c r="J421" s="6" t="n">
        <v>62.4</v>
      </c>
      <c r="K421" s="6" t="n">
        <v>1027</v>
      </c>
      <c r="L421" s="6" t="n">
        <v>535</v>
      </c>
      <c r="M421" s="6" t="n">
        <f aca="false">IF(AND(ISNUMBER(K421),ISNUMBER(L421)),ROUND(K421/L421,2),"")</f>
        <v>1.92</v>
      </c>
      <c r="N421" s="7"/>
      <c r="O421" s="8" t="s">
        <v>6</v>
      </c>
      <c r="P421" s="7" t="s">
        <v>829</v>
      </c>
      <c r="Q421" s="7"/>
      <c r="R421" s="6" t="s">
        <v>364</v>
      </c>
    </row>
    <row r="422" customFormat="false" ht="15" hidden="false" customHeight="false" outlineLevel="0" collapsed="false">
      <c r="A422" s="6" t="n">
        <v>421</v>
      </c>
      <c r="B422" s="6" t="s">
        <v>30</v>
      </c>
      <c r="C422" s="10" t="s">
        <v>58</v>
      </c>
      <c r="D422" s="6" t="s">
        <v>51</v>
      </c>
      <c r="E422" s="6" t="s">
        <v>833</v>
      </c>
      <c r="F422" s="7" t="s">
        <v>856</v>
      </c>
      <c r="G422" s="6" t="s">
        <v>54</v>
      </c>
      <c r="H422" s="6" t="n">
        <v>200</v>
      </c>
      <c r="I422" s="6" t="n">
        <v>200</v>
      </c>
      <c r="J422" s="6" t="n">
        <v>13.9</v>
      </c>
      <c r="K422" s="6" t="n">
        <v>358</v>
      </c>
      <c r="L422" s="6" t="n">
        <v>239</v>
      </c>
      <c r="M422" s="6" t="n">
        <f aca="false">IF(AND(ISNUMBER(K422),ISNUMBER(L422)),ROUND(K422/L422,2),"")</f>
        <v>1.5</v>
      </c>
      <c r="N422" s="7"/>
      <c r="O422" s="8" t="s">
        <v>6</v>
      </c>
      <c r="P422" s="7" t="s">
        <v>827</v>
      </c>
      <c r="Q422" s="7"/>
      <c r="R422" s="6" t="s">
        <v>857</v>
      </c>
    </row>
    <row r="423" customFormat="false" ht="15" hidden="false" customHeight="false" outlineLevel="0" collapsed="false">
      <c r="A423" s="6" t="n">
        <v>422</v>
      </c>
      <c r="B423" s="6" t="s">
        <v>30</v>
      </c>
      <c r="C423" s="10" t="s">
        <v>58</v>
      </c>
      <c r="D423" s="6" t="s">
        <v>51</v>
      </c>
      <c r="E423" s="6" t="s">
        <v>833</v>
      </c>
      <c r="F423" s="7" t="s">
        <v>858</v>
      </c>
      <c r="G423" s="6" t="s">
        <v>54</v>
      </c>
      <c r="H423" s="6" t="n">
        <v>200</v>
      </c>
      <c r="I423" s="6" t="n">
        <v>200</v>
      </c>
      <c r="J423" s="6" t="n">
        <v>13</v>
      </c>
      <c r="K423" s="6" t="n">
        <v>294</v>
      </c>
      <c r="L423" s="6" t="n">
        <v>404</v>
      </c>
      <c r="M423" s="6" t="n">
        <f aca="false">IF(AND(ISNUMBER(K423),ISNUMBER(L423)),ROUND(K423/L423,2),"")</f>
        <v>0.73</v>
      </c>
      <c r="N423" s="7"/>
      <c r="O423" s="8" t="s">
        <v>6</v>
      </c>
      <c r="P423" s="7" t="s">
        <v>859</v>
      </c>
      <c r="Q423" s="7"/>
      <c r="R423" s="6" t="s">
        <v>860</v>
      </c>
    </row>
    <row r="424" customFormat="false" ht="15" hidden="false" customHeight="false" outlineLevel="0" collapsed="false">
      <c r="A424" s="6" t="n">
        <v>423</v>
      </c>
      <c r="B424" s="6" t="s">
        <v>30</v>
      </c>
      <c r="C424" s="10" t="s">
        <v>58</v>
      </c>
      <c r="D424" s="6" t="s">
        <v>51</v>
      </c>
      <c r="E424" s="6" t="s">
        <v>833</v>
      </c>
      <c r="F424" s="7" t="s">
        <v>861</v>
      </c>
      <c r="G424" s="6" t="s">
        <v>54</v>
      </c>
      <c r="H424" s="6" t="n">
        <v>200</v>
      </c>
      <c r="I424" s="6" t="n">
        <v>200</v>
      </c>
      <c r="J424" s="6" t="n">
        <v>121</v>
      </c>
      <c r="K424" s="6" t="n">
        <v>1200</v>
      </c>
      <c r="L424" s="6" t="n">
        <v>540</v>
      </c>
      <c r="M424" s="6" t="n">
        <f aca="false">IF(AND(ISNUMBER(K424),ISNUMBER(L424)),ROUND(K424/L424,2),"")</f>
        <v>2.22</v>
      </c>
      <c r="N424" s="7"/>
      <c r="O424" s="8" t="s">
        <v>6</v>
      </c>
      <c r="P424" s="7" t="s">
        <v>826</v>
      </c>
      <c r="Q424" s="7"/>
      <c r="R424" s="6" t="s">
        <v>862</v>
      </c>
    </row>
    <row r="425" customFormat="false" ht="23.85" hidden="false" customHeight="false" outlineLevel="0" collapsed="false">
      <c r="A425" s="6" t="n">
        <v>424</v>
      </c>
      <c r="B425" s="6" t="s">
        <v>30</v>
      </c>
      <c r="C425" s="10" t="s">
        <v>58</v>
      </c>
      <c r="D425" s="6" t="s">
        <v>51</v>
      </c>
      <c r="E425" s="6" t="s">
        <v>833</v>
      </c>
      <c r="F425" s="7" t="s">
        <v>602</v>
      </c>
      <c r="G425" s="6" t="s">
        <v>54</v>
      </c>
      <c r="H425" s="6" t="n">
        <v>200</v>
      </c>
      <c r="I425" s="6" t="n">
        <v>200</v>
      </c>
      <c r="J425" s="6" t="n">
        <v>122.5</v>
      </c>
      <c r="K425" s="6" t="n">
        <v>1377</v>
      </c>
      <c r="L425" s="6" t="n">
        <v>768</v>
      </c>
      <c r="M425" s="6" t="n">
        <f aca="false">IF(AND(ISNUMBER(K425),ISNUMBER(L425)),ROUND(K425/L425,2),"")</f>
        <v>1.79</v>
      </c>
      <c r="N425" s="7"/>
      <c r="O425" s="8" t="s">
        <v>6</v>
      </c>
      <c r="P425" s="7" t="s">
        <v>826</v>
      </c>
      <c r="Q425" s="7"/>
      <c r="R425" s="6" t="s">
        <v>604</v>
      </c>
    </row>
    <row r="426" customFormat="false" ht="15" hidden="false" customHeight="false" outlineLevel="0" collapsed="false">
      <c r="A426" s="6" t="n">
        <v>425</v>
      </c>
      <c r="B426" s="6" t="s">
        <v>30</v>
      </c>
      <c r="C426" s="10" t="s">
        <v>58</v>
      </c>
      <c r="D426" s="6" t="s">
        <v>51</v>
      </c>
      <c r="E426" s="6" t="s">
        <v>833</v>
      </c>
      <c r="F426" s="9" t="s">
        <v>863</v>
      </c>
      <c r="G426" s="6" t="s">
        <v>54</v>
      </c>
      <c r="H426" s="6" t="n">
        <v>200</v>
      </c>
      <c r="I426" s="6" t="n">
        <v>200</v>
      </c>
      <c r="J426" s="6" t="n">
        <v>60.4</v>
      </c>
      <c r="K426" s="6" t="n">
        <v>745</v>
      </c>
      <c r="L426" s="6" t="n">
        <v>455</v>
      </c>
      <c r="M426" s="6" t="n">
        <f aca="false">IF(AND(ISNUMBER(K426),ISNUMBER(L426)),ROUND(K426/L426,2),"")</f>
        <v>1.64</v>
      </c>
      <c r="N426" s="7"/>
      <c r="O426" s="8" t="s">
        <v>6</v>
      </c>
      <c r="P426" s="7" t="s">
        <v>826</v>
      </c>
      <c r="Q426" s="7"/>
      <c r="R426" s="6" t="s">
        <v>864</v>
      </c>
    </row>
    <row r="427" customFormat="false" ht="15" hidden="false" customHeight="false" outlineLevel="0" collapsed="false">
      <c r="A427" s="6" t="n">
        <v>426</v>
      </c>
      <c r="B427" s="6" t="s">
        <v>30</v>
      </c>
      <c r="C427" s="10" t="s">
        <v>58</v>
      </c>
      <c r="D427" s="6" t="s">
        <v>51</v>
      </c>
      <c r="E427" s="6" t="s">
        <v>833</v>
      </c>
      <c r="F427" s="7" t="s">
        <v>865</v>
      </c>
      <c r="G427" s="6" t="s">
        <v>54</v>
      </c>
      <c r="H427" s="6" t="n">
        <v>200</v>
      </c>
      <c r="I427" s="6" t="n">
        <v>200</v>
      </c>
      <c r="J427" s="6" t="n">
        <v>38.1</v>
      </c>
      <c r="K427" s="6" t="n">
        <v>951</v>
      </c>
      <c r="L427" s="6" t="n">
        <v>404</v>
      </c>
      <c r="M427" s="6" t="n">
        <f aca="false">IF(AND(ISNUMBER(K427),ISNUMBER(L427)),ROUND(K427/L427,2),"")</f>
        <v>2.35</v>
      </c>
      <c r="N427" s="7"/>
      <c r="O427" s="8" t="s">
        <v>6</v>
      </c>
      <c r="P427" s="7" t="s">
        <v>827</v>
      </c>
      <c r="Q427" s="7"/>
      <c r="R427" s="6" t="s">
        <v>866</v>
      </c>
    </row>
    <row r="428" customFormat="false" ht="15" hidden="false" customHeight="false" outlineLevel="0" collapsed="false">
      <c r="A428" s="6" t="n">
        <v>427</v>
      </c>
      <c r="B428" s="6" t="s">
        <v>30</v>
      </c>
      <c r="C428" s="10" t="s">
        <v>58</v>
      </c>
      <c r="D428" s="6" t="s">
        <v>51</v>
      </c>
      <c r="E428" s="6" t="s">
        <v>833</v>
      </c>
      <c r="F428" s="7" t="s">
        <v>867</v>
      </c>
      <c r="G428" s="6" t="s">
        <v>54</v>
      </c>
      <c r="H428" s="6" t="n">
        <v>200</v>
      </c>
      <c r="I428" s="6" t="n">
        <v>200</v>
      </c>
      <c r="J428" s="6" t="n">
        <v>15.1</v>
      </c>
      <c r="K428" s="6" t="n">
        <v>287</v>
      </c>
      <c r="L428" s="6" t="n">
        <v>404</v>
      </c>
      <c r="M428" s="6" t="n">
        <f aca="false">IF(AND(ISNUMBER(K428),ISNUMBER(L428)),ROUND(K428/L428,2),"")</f>
        <v>0.71</v>
      </c>
      <c r="N428" s="7"/>
      <c r="O428" s="8" t="s">
        <v>6</v>
      </c>
      <c r="P428" s="7" t="s">
        <v>868</v>
      </c>
      <c r="Q428" s="7"/>
      <c r="R428" s="6" t="s">
        <v>869</v>
      </c>
    </row>
    <row r="429" customFormat="false" ht="15" hidden="false" customHeight="false" outlineLevel="0" collapsed="false">
      <c r="A429" s="6" t="n">
        <v>428</v>
      </c>
      <c r="B429" s="6" t="s">
        <v>30</v>
      </c>
      <c r="C429" s="10" t="s">
        <v>58</v>
      </c>
      <c r="D429" s="6" t="s">
        <v>51</v>
      </c>
      <c r="E429" s="6" t="s">
        <v>870</v>
      </c>
      <c r="F429" s="7" t="s">
        <v>139</v>
      </c>
      <c r="G429" s="6" t="s">
        <v>54</v>
      </c>
      <c r="H429" s="6" t="n">
        <v>200</v>
      </c>
      <c r="I429" s="6" t="n">
        <v>200</v>
      </c>
      <c r="J429" s="6" t="n">
        <v>8.9</v>
      </c>
      <c r="K429" s="6" t="n">
        <v>180</v>
      </c>
      <c r="L429" s="6" t="n">
        <v>168</v>
      </c>
      <c r="M429" s="6" t="n">
        <f aca="false">IF(AND(ISNUMBER(K429),ISNUMBER(L429)),ROUND(K429/L429,2),"")</f>
        <v>1.07</v>
      </c>
      <c r="N429" s="9" t="s">
        <v>232</v>
      </c>
      <c r="O429" s="11" t="s">
        <v>5</v>
      </c>
      <c r="P429" s="7"/>
      <c r="Q429" s="7"/>
      <c r="R429" s="6" t="s">
        <v>141</v>
      </c>
    </row>
    <row r="430" customFormat="false" ht="15" hidden="false" customHeight="false" outlineLevel="0" collapsed="false">
      <c r="A430" s="6" t="n">
        <v>429</v>
      </c>
      <c r="B430" s="6" t="s">
        <v>30</v>
      </c>
      <c r="C430" s="10" t="s">
        <v>58</v>
      </c>
      <c r="D430" s="6" t="s">
        <v>51</v>
      </c>
      <c r="E430" s="6" t="s">
        <v>870</v>
      </c>
      <c r="F430" s="9" t="s">
        <v>157</v>
      </c>
      <c r="G430" s="6" t="s">
        <v>54</v>
      </c>
      <c r="H430" s="6" t="n">
        <v>200</v>
      </c>
      <c r="I430" s="6" t="n">
        <v>200</v>
      </c>
      <c r="J430" s="6" t="n">
        <v>3.7</v>
      </c>
      <c r="K430" s="6" t="n">
        <v>403</v>
      </c>
      <c r="L430" s="6" t="n">
        <v>190</v>
      </c>
      <c r="M430" s="6" t="n">
        <f aca="false">IF(AND(ISNUMBER(K430),ISNUMBER(L430)),ROUND(K430/L430,2),"")</f>
        <v>2.12</v>
      </c>
      <c r="N430" s="9" t="s">
        <v>871</v>
      </c>
      <c r="O430" s="8" t="s">
        <v>6</v>
      </c>
      <c r="P430" s="9" t="s">
        <v>67</v>
      </c>
      <c r="Q430" s="7"/>
      <c r="R430" s="6" t="s">
        <v>159</v>
      </c>
    </row>
    <row r="431" customFormat="false" ht="15" hidden="false" customHeight="false" outlineLevel="0" collapsed="false">
      <c r="A431" s="6" t="n">
        <v>430</v>
      </c>
      <c r="B431" s="6" t="s">
        <v>30</v>
      </c>
      <c r="C431" s="10" t="s">
        <v>58</v>
      </c>
      <c r="D431" s="6" t="s">
        <v>51</v>
      </c>
      <c r="E431" s="6" t="s">
        <v>870</v>
      </c>
      <c r="F431" s="9" t="s">
        <v>148</v>
      </c>
      <c r="G431" s="6" t="s">
        <v>54</v>
      </c>
      <c r="H431" s="6" t="n">
        <v>200</v>
      </c>
      <c r="I431" s="6" t="n">
        <v>200</v>
      </c>
      <c r="J431" s="6" t="n">
        <v>19.1</v>
      </c>
      <c r="K431" s="6" t="n">
        <v>1887</v>
      </c>
      <c r="L431" s="6" t="n">
        <v>753</v>
      </c>
      <c r="M431" s="6" t="n">
        <f aca="false">IF(AND(ISNUMBER(K431),ISNUMBER(L431)),ROUND(K431/L431,2),"")</f>
        <v>2.51</v>
      </c>
      <c r="N431" s="9" t="s">
        <v>149</v>
      </c>
      <c r="O431" s="8" t="s">
        <v>6</v>
      </c>
      <c r="P431" s="9" t="s">
        <v>67</v>
      </c>
      <c r="Q431" s="7"/>
      <c r="R431" s="6" t="s">
        <v>150</v>
      </c>
    </row>
    <row r="432" customFormat="false" ht="15" hidden="false" customHeight="false" outlineLevel="0" collapsed="false">
      <c r="A432" s="6" t="n">
        <v>431</v>
      </c>
      <c r="B432" s="6" t="s">
        <v>30</v>
      </c>
      <c r="C432" s="10" t="s">
        <v>58</v>
      </c>
      <c r="D432" s="6" t="s">
        <v>51</v>
      </c>
      <c r="E432" s="6" t="s">
        <v>870</v>
      </c>
      <c r="F432" s="7" t="s">
        <v>145</v>
      </c>
      <c r="G432" s="6" t="s">
        <v>54</v>
      </c>
      <c r="H432" s="6" t="n">
        <v>200</v>
      </c>
      <c r="I432" s="6" t="n">
        <v>200</v>
      </c>
      <c r="J432" s="6" t="n">
        <v>58.7</v>
      </c>
      <c r="K432" s="6" t="n">
        <v>1920</v>
      </c>
      <c r="L432" s="6" t="n">
        <v>1565</v>
      </c>
      <c r="M432" s="6" t="n">
        <f aca="false">IF(AND(ISNUMBER(K432),ISNUMBER(L432)),ROUND(K432/L432,2),"")</f>
        <v>1.23</v>
      </c>
      <c r="N432" s="7" t="s">
        <v>146</v>
      </c>
      <c r="O432" s="8" t="s">
        <v>6</v>
      </c>
      <c r="P432" s="9" t="s">
        <v>67</v>
      </c>
      <c r="Q432" s="7"/>
      <c r="R432" s="6" t="s">
        <v>147</v>
      </c>
    </row>
    <row r="433" customFormat="false" ht="15" hidden="false" customHeight="false" outlineLevel="0" collapsed="false">
      <c r="A433" s="6" t="n">
        <v>432</v>
      </c>
      <c r="B433" s="6" t="s">
        <v>30</v>
      </c>
      <c r="C433" s="10" t="s">
        <v>58</v>
      </c>
      <c r="D433" s="6" t="s">
        <v>51</v>
      </c>
      <c r="E433" s="6" t="s">
        <v>870</v>
      </c>
      <c r="F433" s="7" t="s">
        <v>142</v>
      </c>
      <c r="G433" s="6" t="s">
        <v>54</v>
      </c>
      <c r="H433" s="6" t="n">
        <v>200</v>
      </c>
      <c r="I433" s="6" t="n">
        <v>200</v>
      </c>
      <c r="J433" s="6" t="n">
        <v>19</v>
      </c>
      <c r="K433" s="6" t="n">
        <v>1920</v>
      </c>
      <c r="L433" s="6" t="n">
        <v>947</v>
      </c>
      <c r="M433" s="6" t="n">
        <f aca="false">IF(AND(ISNUMBER(K433),ISNUMBER(L433)),ROUND(K433/L433,2),"")</f>
        <v>2.03</v>
      </c>
      <c r="N433" s="7" t="s">
        <v>143</v>
      </c>
      <c r="O433" s="8" t="s">
        <v>6</v>
      </c>
      <c r="P433" s="9" t="s">
        <v>67</v>
      </c>
      <c r="Q433" s="7"/>
      <c r="R433" s="6" t="s">
        <v>144</v>
      </c>
    </row>
    <row r="434" customFormat="false" ht="15" hidden="false" customHeight="false" outlineLevel="0" collapsed="false">
      <c r="A434" s="6" t="n">
        <v>433</v>
      </c>
      <c r="B434" s="6" t="s">
        <v>30</v>
      </c>
      <c r="C434" s="10" t="s">
        <v>58</v>
      </c>
      <c r="D434" s="6" t="s">
        <v>51</v>
      </c>
      <c r="E434" s="6" t="s">
        <v>870</v>
      </c>
      <c r="F434" s="7" t="s">
        <v>164</v>
      </c>
      <c r="G434" s="6" t="s">
        <v>54</v>
      </c>
      <c r="H434" s="6" t="n">
        <v>200</v>
      </c>
      <c r="I434" s="6" t="n">
        <v>200</v>
      </c>
      <c r="J434" s="6" t="n">
        <v>6</v>
      </c>
      <c r="K434" s="6" t="n">
        <v>640</v>
      </c>
      <c r="L434" s="6" t="n">
        <v>250</v>
      </c>
      <c r="M434" s="6" t="n">
        <f aca="false">IF(AND(ISNUMBER(K434),ISNUMBER(L434)),ROUND(K434/L434,2),"")</f>
        <v>2.56</v>
      </c>
      <c r="N434" s="7" t="s">
        <v>165</v>
      </c>
      <c r="O434" s="8" t="s">
        <v>6</v>
      </c>
      <c r="P434" s="9" t="s">
        <v>67</v>
      </c>
      <c r="Q434" s="7"/>
      <c r="R434" s="6" t="s">
        <v>166</v>
      </c>
    </row>
    <row r="435" customFormat="false" ht="15" hidden="false" customHeight="false" outlineLevel="0" collapsed="false">
      <c r="A435" s="6" t="n">
        <v>434</v>
      </c>
      <c r="B435" s="6" t="s">
        <v>30</v>
      </c>
      <c r="C435" s="10" t="s">
        <v>58</v>
      </c>
      <c r="D435" s="6" t="s">
        <v>51</v>
      </c>
      <c r="E435" s="6" t="s">
        <v>870</v>
      </c>
      <c r="F435" s="7" t="s">
        <v>872</v>
      </c>
      <c r="G435" s="6" t="s">
        <v>54</v>
      </c>
      <c r="H435" s="6" t="n">
        <v>200</v>
      </c>
      <c r="I435" s="6" t="n">
        <v>200</v>
      </c>
      <c r="J435" s="6" t="n">
        <v>4.3</v>
      </c>
      <c r="K435" s="6" t="n">
        <v>382</v>
      </c>
      <c r="L435" s="6" t="n">
        <v>169</v>
      </c>
      <c r="M435" s="6" t="n">
        <f aca="false">IF(AND(ISNUMBER(K435),ISNUMBER(L435)),ROUND(K435/L435,2),"")</f>
        <v>2.26</v>
      </c>
      <c r="N435" s="9" t="s">
        <v>873</v>
      </c>
      <c r="O435" s="8" t="s">
        <v>6</v>
      </c>
      <c r="P435" s="9" t="s">
        <v>67</v>
      </c>
      <c r="Q435" s="7"/>
      <c r="R435" s="6" t="s">
        <v>874</v>
      </c>
    </row>
    <row r="436" customFormat="false" ht="15" hidden="false" customHeight="false" outlineLevel="0" collapsed="false">
      <c r="A436" s="6" t="n">
        <v>435</v>
      </c>
      <c r="B436" s="6" t="s">
        <v>30</v>
      </c>
      <c r="C436" s="10" t="s">
        <v>58</v>
      </c>
      <c r="D436" s="6" t="s">
        <v>51</v>
      </c>
      <c r="E436" s="6" t="s">
        <v>870</v>
      </c>
      <c r="F436" s="7" t="s">
        <v>233</v>
      </c>
      <c r="G436" s="6" t="s">
        <v>54</v>
      </c>
      <c r="H436" s="6" t="n">
        <v>200</v>
      </c>
      <c r="I436" s="6" t="n">
        <v>200</v>
      </c>
      <c r="J436" s="6" t="n">
        <v>18.1</v>
      </c>
      <c r="K436" s="6" t="n">
        <v>800</v>
      </c>
      <c r="L436" s="6" t="n">
        <v>386</v>
      </c>
      <c r="M436" s="6" t="n">
        <f aca="false">IF(AND(ISNUMBER(K436),ISNUMBER(L436)),ROUND(K436/L436,2),"")</f>
        <v>2.07</v>
      </c>
      <c r="N436" s="9" t="s">
        <v>234</v>
      </c>
      <c r="O436" s="8" t="s">
        <v>6</v>
      </c>
      <c r="P436" s="9" t="s">
        <v>67</v>
      </c>
      <c r="Q436" s="7"/>
      <c r="R436" s="6" t="s">
        <v>235</v>
      </c>
    </row>
    <row r="437" customFormat="false" ht="15" hidden="false" customHeight="false" outlineLevel="0" collapsed="false">
      <c r="A437" s="6" t="n">
        <v>436</v>
      </c>
      <c r="B437" s="6" t="s">
        <v>30</v>
      </c>
      <c r="C437" s="10" t="s">
        <v>58</v>
      </c>
      <c r="D437" s="6" t="s">
        <v>51</v>
      </c>
      <c r="E437" s="6" t="s">
        <v>870</v>
      </c>
      <c r="F437" s="7" t="s">
        <v>875</v>
      </c>
      <c r="G437" s="6" t="s">
        <v>54</v>
      </c>
      <c r="H437" s="6" t="n">
        <v>200</v>
      </c>
      <c r="I437" s="6" t="n">
        <v>200</v>
      </c>
      <c r="J437" s="6" t="n">
        <v>8.4</v>
      </c>
      <c r="K437" s="6" t="n">
        <v>676</v>
      </c>
      <c r="L437" s="6" t="n">
        <v>264</v>
      </c>
      <c r="M437" s="6" t="n">
        <f aca="false">IF(AND(ISNUMBER(K437),ISNUMBER(L437)),ROUND(K437/L437,2),"")</f>
        <v>2.56</v>
      </c>
      <c r="N437" s="7" t="s">
        <v>876</v>
      </c>
      <c r="O437" s="8" t="s">
        <v>6</v>
      </c>
      <c r="P437" s="9" t="s">
        <v>67</v>
      </c>
      <c r="Q437" s="7"/>
      <c r="R437" s="6" t="s">
        <v>877</v>
      </c>
    </row>
    <row r="438" customFormat="false" ht="15" hidden="false" customHeight="false" outlineLevel="0" collapsed="false">
      <c r="A438" s="6" t="n">
        <v>437</v>
      </c>
      <c r="B438" s="6" t="s">
        <v>30</v>
      </c>
      <c r="C438" s="10" t="s">
        <v>58</v>
      </c>
      <c r="D438" s="6" t="s">
        <v>51</v>
      </c>
      <c r="E438" s="6" t="s">
        <v>870</v>
      </c>
      <c r="F438" s="9" t="s">
        <v>154</v>
      </c>
      <c r="G438" s="6" t="s">
        <v>54</v>
      </c>
      <c r="H438" s="6" t="n">
        <v>200</v>
      </c>
      <c r="I438" s="6" t="n">
        <v>200</v>
      </c>
      <c r="J438" s="6" t="n">
        <v>3.6</v>
      </c>
      <c r="K438" s="6" t="n">
        <v>563</v>
      </c>
      <c r="L438" s="6" t="n">
        <v>240</v>
      </c>
      <c r="M438" s="6" t="n">
        <f aca="false">IF(AND(ISNUMBER(K438),ISNUMBER(L438)),ROUND(K438/L438,2),"")</f>
        <v>2.35</v>
      </c>
      <c r="N438" s="9" t="s">
        <v>155</v>
      </c>
      <c r="O438" s="8" t="s">
        <v>6</v>
      </c>
      <c r="P438" s="9" t="s">
        <v>67</v>
      </c>
      <c r="Q438" s="7"/>
      <c r="R438" s="6" t="s">
        <v>156</v>
      </c>
    </row>
    <row r="439" customFormat="false" ht="15" hidden="false" customHeight="false" outlineLevel="0" collapsed="false">
      <c r="A439" s="6" t="n">
        <v>438</v>
      </c>
      <c r="B439" s="6" t="s">
        <v>30</v>
      </c>
      <c r="C439" s="10" t="s">
        <v>58</v>
      </c>
      <c r="D439" s="6" t="s">
        <v>51</v>
      </c>
      <c r="E439" s="6" t="s">
        <v>64</v>
      </c>
      <c r="F439" s="7" t="s">
        <v>167</v>
      </c>
      <c r="G439" s="6" t="s">
        <v>54</v>
      </c>
      <c r="H439" s="6" t="n">
        <v>200</v>
      </c>
      <c r="I439" s="6" t="n">
        <v>200</v>
      </c>
      <c r="J439" s="6" t="n">
        <v>150.2</v>
      </c>
      <c r="K439" s="6" t="n">
        <v>1915</v>
      </c>
      <c r="L439" s="6" t="n">
        <v>821</v>
      </c>
      <c r="M439" s="6" t="n">
        <f aca="false">IF(AND(ISNUMBER(K439),ISNUMBER(L439)),ROUND(K439/L439,2),"")</f>
        <v>2.33</v>
      </c>
      <c r="N439" s="9" t="s">
        <v>168</v>
      </c>
      <c r="O439" s="8" t="s">
        <v>6</v>
      </c>
      <c r="P439" s="9" t="s">
        <v>67</v>
      </c>
      <c r="Q439" s="7"/>
      <c r="R439" s="6" t="s">
        <v>169</v>
      </c>
    </row>
    <row r="440" customFormat="false" ht="15" hidden="false" customHeight="false" outlineLevel="0" collapsed="false">
      <c r="A440" s="6" t="n">
        <v>439</v>
      </c>
      <c r="B440" s="6" t="s">
        <v>30</v>
      </c>
      <c r="C440" s="6" t="s">
        <v>50</v>
      </c>
      <c r="D440" s="6" t="s">
        <v>51</v>
      </c>
      <c r="E440" s="6" t="s">
        <v>170</v>
      </c>
      <c r="F440" s="9" t="s">
        <v>171</v>
      </c>
      <c r="G440" s="6" t="s">
        <v>54</v>
      </c>
      <c r="H440" s="6" t="n">
        <v>200</v>
      </c>
      <c r="I440" s="6" t="n">
        <v>200</v>
      </c>
      <c r="J440" s="6" t="n">
        <v>51.5</v>
      </c>
      <c r="K440" s="6" t="n">
        <v>537</v>
      </c>
      <c r="L440" s="6" t="n">
        <v>403</v>
      </c>
      <c r="M440" s="6" t="n">
        <f aca="false">IF(AND(ISNUMBER(K440),ISNUMBER(L440)),ROUND(K440/L440,2),"")</f>
        <v>1.33</v>
      </c>
      <c r="N440" s="9" t="s">
        <v>172</v>
      </c>
      <c r="O440" s="11" t="s">
        <v>5</v>
      </c>
      <c r="P440" s="7"/>
      <c r="Q440" s="7"/>
      <c r="R440" s="6" t="s">
        <v>173</v>
      </c>
    </row>
    <row r="441" customFormat="false" ht="15" hidden="false" customHeight="false" outlineLevel="0" collapsed="false">
      <c r="A441" s="6" t="n">
        <v>440</v>
      </c>
      <c r="B441" s="6" t="s">
        <v>30</v>
      </c>
      <c r="C441" s="6" t="s">
        <v>50</v>
      </c>
      <c r="D441" s="6" t="s">
        <v>51</v>
      </c>
      <c r="E441" s="6" t="s">
        <v>174</v>
      </c>
      <c r="F441" s="7" t="s">
        <v>53</v>
      </c>
      <c r="G441" s="6" t="s">
        <v>54</v>
      </c>
      <c r="H441" s="6" t="n">
        <v>200</v>
      </c>
      <c r="I441" s="6" t="n">
        <v>200</v>
      </c>
      <c r="J441" s="6" t="n">
        <v>3.9</v>
      </c>
      <c r="K441" s="6" t="n">
        <v>442</v>
      </c>
      <c r="L441" s="6" t="n">
        <v>129</v>
      </c>
      <c r="M441" s="6" t="n">
        <f aca="false">IF(AND(ISNUMBER(K441),ISNUMBER(L441)),ROUND(K441/L441,2),"")</f>
        <v>3.43</v>
      </c>
      <c r="N441" s="7" t="s">
        <v>55</v>
      </c>
      <c r="O441" s="8" t="s">
        <v>6</v>
      </c>
      <c r="P441" s="9" t="s">
        <v>56</v>
      </c>
      <c r="Q441" s="7"/>
      <c r="R441" s="6" t="s">
        <v>57</v>
      </c>
    </row>
    <row r="442" customFormat="false" ht="15" hidden="false" customHeight="false" outlineLevel="0" collapsed="false">
      <c r="A442" s="6" t="n">
        <v>441</v>
      </c>
      <c r="B442" s="6" t="s">
        <v>30</v>
      </c>
      <c r="C442" s="6" t="s">
        <v>175</v>
      </c>
      <c r="D442" s="6" t="s">
        <v>176</v>
      </c>
      <c r="E442" s="6" t="s">
        <v>176</v>
      </c>
      <c r="F442" s="7" t="s">
        <v>878</v>
      </c>
      <c r="G442" s="6" t="s">
        <v>54</v>
      </c>
      <c r="H442" s="6" t="n">
        <v>200</v>
      </c>
      <c r="I442" s="6" t="s">
        <v>178</v>
      </c>
      <c r="J442" s="6" t="n">
        <v>2522.8</v>
      </c>
      <c r="K442" s="6" t="n">
        <v>1376</v>
      </c>
      <c r="L442" s="6" t="n">
        <v>768</v>
      </c>
      <c r="M442" s="6" t="n">
        <f aca="false">IF(AND(ISNUMBER(K442),ISNUMBER(L442)),ROUND(K442/L442,2),"")</f>
        <v>1.79</v>
      </c>
      <c r="N442" s="7" t="s">
        <v>179</v>
      </c>
      <c r="O442" s="8" t="s">
        <v>6</v>
      </c>
      <c r="P442" s="9" t="s">
        <v>180</v>
      </c>
      <c r="Q442" s="7"/>
      <c r="R442" s="6" t="s">
        <v>879</v>
      </c>
    </row>
    <row r="443" customFormat="false" ht="15" hidden="false" customHeight="false" outlineLevel="0" collapsed="false">
      <c r="A443" s="6" t="n">
        <v>442</v>
      </c>
      <c r="B443" s="6" t="s">
        <v>30</v>
      </c>
      <c r="C443" s="10" t="s">
        <v>58</v>
      </c>
      <c r="D443" s="6" t="s">
        <v>315</v>
      </c>
      <c r="E443" s="6" t="s">
        <v>316</v>
      </c>
      <c r="F443" s="9" t="s">
        <v>880</v>
      </c>
      <c r="G443" s="6" t="s">
        <v>54</v>
      </c>
      <c r="H443" s="6" t="n">
        <v>200</v>
      </c>
      <c r="I443" s="6" t="s">
        <v>178</v>
      </c>
      <c r="J443" s="6" t="n">
        <v>80.9</v>
      </c>
      <c r="K443" s="6" t="n">
        <v>1124</v>
      </c>
      <c r="L443" s="6" t="n">
        <v>632</v>
      </c>
      <c r="M443" s="6" t="n">
        <f aca="false">IF(AND(ISNUMBER(K443),ISNUMBER(L443)),ROUND(K443/L443,2),"")</f>
        <v>1.78</v>
      </c>
      <c r="N443" s="7" t="s">
        <v>318</v>
      </c>
      <c r="O443" s="11" t="s">
        <v>5</v>
      </c>
      <c r="P443" s="7"/>
      <c r="Q443" s="7"/>
      <c r="R443" s="6" t="s">
        <v>881</v>
      </c>
    </row>
    <row r="444" customFormat="false" ht="15" hidden="false" customHeight="false" outlineLevel="0" collapsed="false">
      <c r="A444" s="6" t="n">
        <v>443</v>
      </c>
      <c r="B444" s="6" t="s">
        <v>31</v>
      </c>
      <c r="C444" s="6" t="s">
        <v>50</v>
      </c>
      <c r="D444" s="6" t="s">
        <v>51</v>
      </c>
      <c r="E444" s="6" t="s">
        <v>52</v>
      </c>
      <c r="F444" s="7" t="s">
        <v>53</v>
      </c>
      <c r="G444" s="6" t="s">
        <v>54</v>
      </c>
      <c r="H444" s="6" t="n">
        <v>200</v>
      </c>
      <c r="I444" s="6" t="n">
        <v>200</v>
      </c>
      <c r="J444" s="6" t="n">
        <v>3.9</v>
      </c>
      <c r="K444" s="6" t="n">
        <v>442</v>
      </c>
      <c r="L444" s="6" t="n">
        <v>129</v>
      </c>
      <c r="M444" s="6" t="n">
        <f aca="false">IF(AND(ISNUMBER(K444),ISNUMBER(L444)),ROUND(K444/L444,2),"")</f>
        <v>3.43</v>
      </c>
      <c r="N444" s="7" t="s">
        <v>55</v>
      </c>
      <c r="O444" s="8" t="s">
        <v>6</v>
      </c>
      <c r="P444" s="9" t="s">
        <v>56</v>
      </c>
      <c r="Q444" s="7"/>
      <c r="R444" s="6" t="s">
        <v>57</v>
      </c>
    </row>
    <row r="445" customFormat="false" ht="15" hidden="false" customHeight="false" outlineLevel="0" collapsed="false">
      <c r="A445" s="6" t="n">
        <v>444</v>
      </c>
      <c r="B445" s="6" t="s">
        <v>31</v>
      </c>
      <c r="C445" s="10" t="s">
        <v>58</v>
      </c>
      <c r="D445" s="6" t="s">
        <v>51</v>
      </c>
      <c r="E445" s="6" t="s">
        <v>882</v>
      </c>
      <c r="F445" s="7" t="s">
        <v>883</v>
      </c>
      <c r="G445" s="6" t="s">
        <v>54</v>
      </c>
      <c r="H445" s="6" t="n">
        <v>200</v>
      </c>
      <c r="I445" s="6" t="n">
        <v>200</v>
      </c>
      <c r="J445" s="6" t="n">
        <v>242.1</v>
      </c>
      <c r="K445" s="6" t="n">
        <v>1536</v>
      </c>
      <c r="L445" s="6" t="n">
        <v>864</v>
      </c>
      <c r="M445" s="6" t="n">
        <f aca="false">IF(AND(ISNUMBER(K445),ISNUMBER(L445)),ROUND(K445/L445,2),"")</f>
        <v>1.78</v>
      </c>
      <c r="N445" s="9" t="s">
        <v>884</v>
      </c>
      <c r="O445" s="8" t="s">
        <v>6</v>
      </c>
      <c r="P445" s="9" t="s">
        <v>67</v>
      </c>
      <c r="Q445" s="7"/>
      <c r="R445" s="6" t="s">
        <v>885</v>
      </c>
    </row>
    <row r="446" customFormat="false" ht="29.85" hidden="false" customHeight="false" outlineLevel="0" collapsed="false">
      <c r="A446" s="6" t="n">
        <v>445</v>
      </c>
      <c r="B446" s="6" t="s">
        <v>31</v>
      </c>
      <c r="C446" s="10" t="s">
        <v>58</v>
      </c>
      <c r="D446" s="6" t="s">
        <v>51</v>
      </c>
      <c r="E446" s="6" t="s">
        <v>886</v>
      </c>
      <c r="F446" s="7" t="s">
        <v>887</v>
      </c>
      <c r="G446" s="6" t="s">
        <v>54</v>
      </c>
      <c r="H446" s="6" t="n">
        <v>200</v>
      </c>
      <c r="I446" s="6" t="n">
        <v>200</v>
      </c>
      <c r="J446" s="6" t="n">
        <v>45.4</v>
      </c>
      <c r="K446" s="6" t="n">
        <v>597</v>
      </c>
      <c r="L446" s="6" t="n">
        <v>846</v>
      </c>
      <c r="M446" s="6" t="n">
        <f aca="false">IF(AND(ISNUMBER(K446),ISNUMBER(L446)),ROUND(K446/L446,2),"")</f>
        <v>0.71</v>
      </c>
      <c r="N446" s="9" t="s">
        <v>888</v>
      </c>
      <c r="O446" s="8" t="s">
        <v>6</v>
      </c>
      <c r="P446" s="9" t="s">
        <v>198</v>
      </c>
      <c r="Q446" s="7"/>
      <c r="R446" s="6" t="s">
        <v>889</v>
      </c>
    </row>
    <row r="447" customFormat="false" ht="29.85" hidden="false" customHeight="false" outlineLevel="0" collapsed="false">
      <c r="A447" s="6" t="n">
        <v>446</v>
      </c>
      <c r="B447" s="6" t="s">
        <v>31</v>
      </c>
      <c r="C447" s="10" t="s">
        <v>58</v>
      </c>
      <c r="D447" s="6" t="s">
        <v>51</v>
      </c>
      <c r="E447" s="6" t="s">
        <v>890</v>
      </c>
      <c r="F447" s="9" t="s">
        <v>196</v>
      </c>
      <c r="G447" s="6" t="s">
        <v>54</v>
      </c>
      <c r="H447" s="6" t="n">
        <v>200</v>
      </c>
      <c r="I447" s="6" t="n">
        <v>200</v>
      </c>
      <c r="J447" s="6" t="n">
        <v>30.1</v>
      </c>
      <c r="K447" s="6" t="n">
        <v>597</v>
      </c>
      <c r="L447" s="6" t="n">
        <v>846</v>
      </c>
      <c r="M447" s="6" t="n">
        <f aca="false">IF(AND(ISNUMBER(K447),ISNUMBER(L447)),ROUND(K447/L447,2),"")</f>
        <v>0.71</v>
      </c>
      <c r="N447" s="7" t="s">
        <v>891</v>
      </c>
      <c r="O447" s="8" t="s">
        <v>6</v>
      </c>
      <c r="P447" s="9" t="s">
        <v>198</v>
      </c>
      <c r="Q447" s="7"/>
      <c r="R447" s="6" t="s">
        <v>199</v>
      </c>
    </row>
    <row r="448" customFormat="false" ht="15" hidden="false" customHeight="false" outlineLevel="0" collapsed="false">
      <c r="A448" s="6" t="n">
        <v>447</v>
      </c>
      <c r="B448" s="6" t="s">
        <v>31</v>
      </c>
      <c r="C448" s="6" t="s">
        <v>50</v>
      </c>
      <c r="D448" s="6" t="s">
        <v>51</v>
      </c>
      <c r="E448" s="6" t="s">
        <v>170</v>
      </c>
      <c r="F448" s="9" t="s">
        <v>171</v>
      </c>
      <c r="G448" s="6" t="s">
        <v>54</v>
      </c>
      <c r="H448" s="6" t="n">
        <v>200</v>
      </c>
      <c r="I448" s="6" t="n">
        <v>200</v>
      </c>
      <c r="J448" s="6" t="n">
        <v>51.5</v>
      </c>
      <c r="K448" s="6" t="n">
        <v>537</v>
      </c>
      <c r="L448" s="6" t="n">
        <v>403</v>
      </c>
      <c r="M448" s="6" t="n">
        <f aca="false">IF(AND(ISNUMBER(K448),ISNUMBER(L448)),ROUND(K448/L448,2),"")</f>
        <v>1.33</v>
      </c>
      <c r="N448" s="9" t="s">
        <v>172</v>
      </c>
      <c r="O448" s="11" t="s">
        <v>5</v>
      </c>
      <c r="P448" s="7"/>
      <c r="Q448" s="7"/>
      <c r="R448" s="6" t="s">
        <v>173</v>
      </c>
    </row>
    <row r="449" customFormat="false" ht="15" hidden="false" customHeight="false" outlineLevel="0" collapsed="false">
      <c r="A449" s="6" t="n">
        <v>448</v>
      </c>
      <c r="B449" s="6" t="s">
        <v>31</v>
      </c>
      <c r="C449" s="6" t="s">
        <v>50</v>
      </c>
      <c r="D449" s="6" t="s">
        <v>51</v>
      </c>
      <c r="E449" s="6" t="s">
        <v>174</v>
      </c>
      <c r="F449" s="7" t="s">
        <v>53</v>
      </c>
      <c r="G449" s="6" t="s">
        <v>54</v>
      </c>
      <c r="H449" s="6" t="n">
        <v>200</v>
      </c>
      <c r="I449" s="6" t="n">
        <v>200</v>
      </c>
      <c r="J449" s="6" t="n">
        <v>3.9</v>
      </c>
      <c r="K449" s="6" t="n">
        <v>442</v>
      </c>
      <c r="L449" s="6" t="n">
        <v>129</v>
      </c>
      <c r="M449" s="6" t="n">
        <f aca="false">IF(AND(ISNUMBER(K449),ISNUMBER(L449)),ROUND(K449/L449,2),"")</f>
        <v>3.43</v>
      </c>
      <c r="N449" s="7" t="s">
        <v>55</v>
      </c>
      <c r="O449" s="8" t="s">
        <v>6</v>
      </c>
      <c r="P449" s="9" t="s">
        <v>56</v>
      </c>
      <c r="Q449" s="7"/>
      <c r="R449" s="6" t="s">
        <v>57</v>
      </c>
    </row>
    <row r="450" customFormat="false" ht="15" hidden="false" customHeight="false" outlineLevel="0" collapsed="false">
      <c r="A450" s="6" t="n">
        <v>449</v>
      </c>
      <c r="B450" s="6" t="s">
        <v>31</v>
      </c>
      <c r="C450" s="6" t="s">
        <v>175</v>
      </c>
      <c r="D450" s="6" t="s">
        <v>176</v>
      </c>
      <c r="E450" s="6" t="s">
        <v>176</v>
      </c>
      <c r="F450" s="7" t="s">
        <v>892</v>
      </c>
      <c r="G450" s="6" t="s">
        <v>54</v>
      </c>
      <c r="H450" s="6" t="n">
        <v>200</v>
      </c>
      <c r="I450" s="6" t="s">
        <v>178</v>
      </c>
      <c r="J450" s="6" t="n">
        <v>3888.1</v>
      </c>
      <c r="K450" s="6"/>
      <c r="L450" s="6"/>
      <c r="M450" s="6" t="str">
        <f aca="false">IF(AND(ISNUMBER(K450),ISNUMBER(L450)),ROUND(K450/L450,2),"")</f>
        <v/>
      </c>
      <c r="N450" s="7" t="s">
        <v>179</v>
      </c>
      <c r="O450" s="8" t="s">
        <v>6</v>
      </c>
      <c r="P450" s="9" t="s">
        <v>180</v>
      </c>
      <c r="Q450" s="7"/>
      <c r="R450" s="6" t="s">
        <v>893</v>
      </c>
    </row>
  </sheetData>
  <autoFilter ref="A1:R4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2" t="s">
        <v>894</v>
      </c>
      <c r="B1" s="12" t="s">
        <v>895</v>
      </c>
    </row>
    <row r="2" customFormat="false" ht="15" hidden="false" customHeight="false" outlineLevel="0" collapsed="false">
      <c r="A2" s="13" t="s">
        <v>896</v>
      </c>
      <c r="B2" s="14" t="s">
        <v>897</v>
      </c>
    </row>
    <row r="3" customFormat="false" ht="15" hidden="false" customHeight="false" outlineLevel="0" collapsed="false">
      <c r="A3" s="13" t="s">
        <v>898</v>
      </c>
      <c r="B3" s="14" t="s">
        <v>899</v>
      </c>
    </row>
    <row r="4" customFormat="false" ht="15" hidden="false" customHeight="false" outlineLevel="0" collapsed="false">
      <c r="A4" s="13" t="s">
        <v>900</v>
      </c>
      <c r="B4" s="13" t="s">
        <v>901</v>
      </c>
    </row>
    <row r="5" customFormat="false" ht="15" hidden="false" customHeight="false" outlineLevel="0" collapsed="false">
      <c r="A5" s="13" t="s">
        <v>902</v>
      </c>
      <c r="B5" s="13" t="s">
        <v>903</v>
      </c>
    </row>
    <row r="6" customFormat="false" ht="29.85" hidden="false" customHeight="false" outlineLevel="0" collapsed="false">
      <c r="A6" s="13" t="s">
        <v>904</v>
      </c>
      <c r="B6" s="13" t="s">
        <v>905</v>
      </c>
    </row>
    <row r="7" customFormat="false" ht="29.85" hidden="false" customHeight="false" outlineLevel="0" collapsed="false">
      <c r="A7" s="13" t="s">
        <v>906</v>
      </c>
      <c r="B7" s="13" t="s">
        <v>907</v>
      </c>
    </row>
    <row r="8" customFormat="false" ht="15" hidden="false" customHeight="false" outlineLevel="0" collapsed="false">
      <c r="A8" s="13" t="s">
        <v>908</v>
      </c>
      <c r="B8" s="13" t="s">
        <v>909</v>
      </c>
    </row>
    <row r="9" customFormat="false" ht="29.85" hidden="false" customHeight="false" outlineLevel="0" collapsed="false">
      <c r="A9" s="14" t="s">
        <v>910</v>
      </c>
      <c r="B9" s="14" t="s">
        <v>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2026-10-17T22:10:19Z</dcterms:created>
  <dc:creator>openpyxl</dc:creator>
  <dc:description/>
  <dc:language>en-US</dc:language>
  <cp:lastModifiedBy/>
  <dcterms:modified xsi:type="dcterms:W3CDTF">2026-10-17T22:10:20Z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